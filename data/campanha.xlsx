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811f78c9804de7" /></Relationships>
</file>

<file path=xl/workbook.xml><?xml version="1.0" encoding="utf-8"?>
<x:workbook xmlns:x="http://schemas.openxmlformats.org/spreadsheetml/2006/main">
  <x:sheets>
    <x:sheet xmlns:r="http://schemas.openxmlformats.org/officeDocument/2006/relationships" name="Carteira" sheetId="1" r:id="R281faff7dc404f4f"/>
    <x:sheet xmlns:r="http://schemas.openxmlformats.org/officeDocument/2006/relationships" name="Resumo" sheetId="2" r:id="Rfe5dd8a5627d40c1"/>
    <x:sheet xmlns:r="http://schemas.openxmlformats.org/officeDocument/2006/relationships" name="Como usar" sheetId="3" r:id="R4945dbfd01a843b9"/>
    <x:sheet xmlns:r="http://schemas.openxmlformats.org/officeDocument/2006/relationships" name="Campanha" sheetId="4" r:id="Rdcd46c5b70954432"/>
    <x:sheet xmlns:r="http://schemas.openxmlformats.org/officeDocument/2006/relationships" name="Dashboard Campanha" sheetId="5" r:id="Re86b6ce55fff4078"/>
    <x:sheet xmlns:r="http://schemas.openxmlformats.org/officeDocument/2006/relationships" name="Configuração Automação" sheetId="6" r:id="R7289471a2eb54699"/>
    <x:sheet xmlns:r="http://schemas.openxmlformats.org/officeDocument/2006/relationships" name="Catálogo e Regras" sheetId="7" r:id="R4bc989164b094324"/>
    <x:sheet xmlns:r="http://schemas.openxmlformats.org/officeDocument/2006/relationships" name="Fontes e Compliance" sheetId="8" r:id="Rc2b7e49ae50b4140"/>
    <x:sheet xmlns:r="http://schemas.openxmlformats.org/officeDocument/2006/relationships" name="Sequência de E-mails" sheetId="9" r:id="Rd2a6bc95c887427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0.0"/>
    <x:numFmt numFmtId="165" formatCode="DD/MM/YYYY"/>
    <x:numFmt numFmtId="166" formatCode="0.0%"/>
    <x:numFmt numFmtId="200" formatCode="dd/mm/yyyy hh:mm"/>
  </x:numFmts>
  <x:fonts count="13">
    <x:font>
      <x:sz val="11"/>
      <x:color theme="1"/>
      <x:name val="Calibri"/>
    </x:font>
    <x:font>
      <x:b/>
      <x:sz val="10"/>
      <x:color rgb="FFFFFFFF"/>
      <x:name val="Arial"/>
    </x:font>
    <x:font>
      <x:sz val="10"/>
      <x:name val="Arial"/>
    </x:font>
    <x:font>
      <x:b/>
      <x:sz val="15"/>
      <x:color rgb="FF9B3535"/>
      <x:name val="Arial"/>
    </x:font>
    <x:font>
      <x:i/>
      <x:sz val="9"/>
      <x:color rgb="FF666666"/>
      <x:name val="Arial"/>
    </x:font>
    <x:font>
      <x:b/>
      <x:sz val="11"/>
      <x:color rgb="FF9B3535"/>
      <x:name val="Arial"/>
    </x:font>
    <x:font>
      <x:b/>
      <x:sz val="14"/>
      <x:color rgb="FF9B3535"/>
      <x:name val="Arial"/>
    </x:font>
    <x:font>
      <x:b/>
      <x:sz val="10"/>
      <x:color rgb="FFFFFFFF"/>
      <x:name val="Calibri"/>
    </x:font>
    <x:font>
      <x:b/>
      <x:sz val="9"/>
      <x:color rgb="FFFFFFFF"/>
      <x:name val="Calibri"/>
    </x:font>
    <x:font>
      <x:sz val="9"/>
      <x:color theme="1"/>
      <x:name val="Calibri"/>
    </x:font>
    <x:font>
      <x:b/>
      <x:sz val="16"/>
      <x:color rgb="FFFFFFFF"/>
      <x:name val="Calibri"/>
    </x:font>
    <x:font>
      <x:b/>
      <x:sz val="12"/>
      <x:color rgb="FFFFFFFF"/>
      <x:name val="Calibri"/>
    </x:font>
    <x:font>
      <x:b/>
      <x:sz val="11"/>
      <x:color rgb="FF8B1E2D"/>
      <x:name val="Calibri"/>
    </x:font>
  </x:fonts>
  <x:fills count="4">
    <x:fill>
      <x:patternFill patternType="none"/>
    </x:fill>
    <x:fill>
      <x:patternFill patternType="gray125"/>
    </x:fill>
    <x:fill>
      <x:patternFill patternType="solid">
        <x:fgColor rgb="FF9B3535"/>
      </x:patternFill>
    </x:fill>
    <x:fill>
      <x:patternFill patternType="solid">
        <x:fgColor rgb="FF8B1E2D"/>
      </x:patternFill>
    </x:fill>
  </x:fills>
  <x:borders count="3">
    <x:border/>
    <x:border>
      <x:left style="thin">
        <x:color rgb="FFD9D9D9"/>
      </x:left>
      <x:right style="thin">
        <x:color rgb="FFD9D9D9"/>
      </x:right>
      <x:top style="thin">
        <x:color rgb="FFD9D9D9"/>
      </x:top>
      <x:bottom style="thin">
        <x:color rgb="FFD9D9D9"/>
      </x:bottom>
    </x:border>
    <x:border/>
  </x:borders>
  <x:cellStyleXfs count="1">
    <x:xf numFmtId="0" fontId="0" fillId="0" borderId="0"/>
  </x:cellStyleXfs>
  <x:cellXfs count="56">
    <x:xf numFmtId="0" fontId="0" fillId="0" borderId="0" xfId="0"/>
    <x:xf numFmtId="0" fontId="1" fillId="2" borderId="1" xfId="0" applyAlignment="1">
      <x:alignment horizontal="center" vertical="center"/>
    </x:xf>
    <x:xf numFmtId="0" fontId="2" fillId="0" borderId="1" xfId="0" applyAlignment="1">
      <x:alignment horizontal="center" vertical="center"/>
    </x:xf>
    <x:xf numFmtId="0" fontId="2" fillId="0" borderId="1" xfId="0" applyAlignment="1">
      <x:alignment horizontal="left" vertical="center"/>
    </x:xf>
    <x:xf numFmtId="164" fontId="2" fillId="0" borderId="1" xfId="0" applyAlignment="1">
      <x:alignment horizontal="center" vertical="center"/>
    </x:xf>
    <x:xf numFmtId="165" fontId="2" fillId="0" borderId="1" xfId="0" applyAlignment="1">
      <x:alignment horizontal="center" vertical="center"/>
    </x:xf>
    <x:xf numFmtId="0" fontId="3" fillId="0" borderId="0" xfId="0"/>
    <x:xf numFmtId="0" fontId="4" fillId="0" borderId="0" xfId="0"/>
    <x:xf numFmtId="0" fontId="2" fillId="0" borderId="0" xfId="0"/>
    <x:xf numFmtId="0" fontId="5" fillId="0" borderId="0" xfId="0"/>
    <x:xf numFmtId="0" fontId="1" fillId="2" borderId="0" xfId="0" applyAlignment="1">
      <x:alignment horizontal="center" vertical="center"/>
    </x:xf>
    <x:xf numFmtId="166" fontId="2" fillId="0" borderId="0" xfId="0"/>
    <x:xf numFmtId="0" fontId="6" fillId="0" borderId="0" xfId="0"/>
    <x:xf numFmtId="0" fontId="0" fillId="0" borderId="2" xfId="0" applyNumberFormat="1" applyFont="1" applyFill="1" applyBorder="1"/>
    <x:xf numFmtId="0" fontId="1" fillId="2" borderId="1" xfId="0" applyNumberFormat="1" applyFont="1" applyFill="1" applyBorder="1" applyAlignment="1">
      <x:alignment horizontal="center" vertical="center"/>
    </x:xf>
    <x:xf numFmtId="0" fontId="2" fillId="0" borderId="1" xfId="0" applyNumberFormat="1" applyFont="1" applyFill="1" applyBorder="1" applyAlignment="1">
      <x:alignment horizontal="center" vertical="center"/>
    </x:xf>
    <x:xf numFmtId="0" fontId="2" fillId="0" borderId="1" xfId="0" applyNumberFormat="1" applyFont="1" applyFill="1" applyBorder="1" applyAlignment="1">
      <x:alignment horizontal="left" vertical="center"/>
    </x:xf>
    <x:xf numFmtId="164" fontId="2" fillId="0" borderId="1" xfId="0" applyNumberFormat="1" applyFont="1" applyFill="1" applyBorder="1" applyAlignment="1">
      <x:alignment horizontal="center" vertical="center"/>
    </x:xf>
    <x:xf numFmtId="165" fontId="2" fillId="0" borderId="1" xfId="0" applyNumberFormat="1" applyFont="1" applyFill="1" applyBorder="1" applyAlignment="1">
      <x:alignment horizontal="center" vertical="center"/>
    </x:xf>
    <x:xf numFmtId="0" fontId="3" fillId="0" borderId="2" xfId="0" applyNumberFormat="1" applyFont="1" applyFill="1" applyBorder="1"/>
    <x:xf numFmtId="0" fontId="4" fillId="0" borderId="2" xfId="0" applyNumberFormat="1" applyFont="1" applyFill="1" applyBorder="1"/>
    <x:xf numFmtId="0" fontId="2" fillId="0" borderId="2" xfId="0" applyNumberFormat="1" applyFont="1" applyFill="1" applyBorder="1"/>
    <x:xf numFmtId="0" fontId="5" fillId="0" borderId="2" xfId="0" applyNumberFormat="1" applyFont="1" applyFill="1" applyBorder="1"/>
    <x:xf numFmtId="0" fontId="1" fillId="2" borderId="2" xfId="0" applyNumberFormat="1" applyFont="1" applyFill="1" applyBorder="1" applyAlignment="1">
      <x:alignment horizontal="center" vertical="center"/>
    </x:xf>
    <x:xf numFmtId="166" fontId="2" fillId="0" borderId="2" xfId="0" applyNumberFormat="1" applyFont="1" applyFill="1" applyBorder="1"/>
    <x:xf numFmtId="0" fontId="6" fillId="0" borderId="2" xfId="0" applyNumberFormat="1" applyFont="1" applyFill="1" applyBorder="1"/>
    <x:xf numFmtId="0" fontId="2" fillId="0" borderId="1" xfId="0" applyNumberFormat="1" applyFont="1" applyFill="1" applyBorder="1" applyAlignment="1">
      <x:alignment horizontal="left" vertical="center" wrapText="1"/>
    </x:xf>
    <x:xf numFmtId="0" fontId="0"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2" fillId="0" borderId="0" xfId="0" applyNumberFormat="1" applyFont="1" applyFill="1" applyBorder="1"/>
    <x:xf numFmtId="0" fontId="5" fillId="0" borderId="0" xfId="0" applyNumberFormat="1" applyFont="1" applyFill="1" applyBorder="1"/>
    <x:xf numFmtId="0" fontId="1" fillId="2" borderId="0" xfId="0" applyNumberFormat="1" applyFont="1" applyFill="1" applyBorder="1" applyAlignment="1">
      <x:alignment horizontal="center" vertical="center"/>
    </x:xf>
    <x:xf numFmtId="166" fontId="2" fillId="0" borderId="0" xfId="0" applyNumberFormat="1" applyFont="1" applyFill="1" applyBorder="1"/>
    <x:xf numFmtId="0" fontId="6" fillId="0" borderId="0" xfId="0" applyNumberFormat="1" applyFont="1" applyFill="1" applyBorder="1"/>
    <x:xf numFmtId="0" fontId="0" fillId="3" borderId="0"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horizontal="center" wrapText="1"/>
    </x:xf>
    <x:xf numFmtId="0" fontId="7" fillId="3" borderId="0" xfId="0" applyNumberFormat="1" applyFont="1" applyFill="1" applyBorder="1" applyAlignment="1">
      <x:alignment horizontal="center" vertical="center" wrapText="1"/>
    </x:xf>
    <x:xf numFmtId="0" fontId="8" fillId="3" borderId="0"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vertical="top"/>
    </x:xf>
    <x:xf numFmtId="0" fontId="9" fillId="0"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horizontal="center"/>
    </x:xf>
    <x:xf numFmtId="0" fontId="10" fillId="3" borderId="0" xfId="0" applyNumberFormat="1" applyFont="1" applyFill="1" applyBorder="1" applyAlignment="1">
      <x:alignment horizontal="center" vertical="center"/>
    </x:xf>
    <x:xf numFmtId="0" fontId="7" fillId="3" xfId="0" applyNumberFormat="1" applyFont="1" applyFill="1" applyBorder="0" applyAlignment="1">
      <x:alignment horizontal="center" vertical="center" wrapText="1"/>
    </x:xf>
    <x:xf numFmtId="0" fontId="0" fillId="0" xfId="0" applyNumberFormat="1" applyFont="1" applyFill="1" applyBorder="0"/>
    <x:xf numFmtId="0" fontId="0" fillId="0" borderId="0" xfId="0" applyNumberFormat="1" applyFont="1" applyFill="1" applyBorder="1" applyAlignment="1">
      <x:alignment wrapText="1"/>
    </x:xf>
    <x:xf numFmtId="0" fontId="11" fillId="3" borderId="0" xfId="0" applyNumberFormat="1" applyFont="1" applyFill="1" applyBorder="1"/>
    <x:xf numFmtId="0" fontId="11" fillId="3" borderId="0" xfId="0" applyNumberFormat="1" applyFont="1" applyFill="1" applyBorder="1" applyAlignment="1">
      <x:alignment horizontal="center"/>
    </x:xf>
    <x:xf numFmtId="0" fontId="11" fillId="3" borderId="0" xfId="0" applyNumberFormat="1" applyFont="1" applyFill="1" applyBorder="1" applyAlignment="1">
      <x:alignment horizontal="center" vertical="center"/>
    </x:xf>
    <x:xf numFmtId="0" fontId="0" fillId="0" borderId="0" xfId="0" applyNumberFormat="1" applyFont="1" applyFill="1" applyBorder="1" applyAlignment="1">
      <x:alignment horizontal="center" wrapText="1"/>
    </x:xf>
    <x:xf numFmtId="0" fontId="12" fillId="0" borderId="0" xfId="0" applyNumberFormat="1" applyFont="1" applyFill="1" applyBorder="1" applyAlignment="1">
      <x:alignment horizontal="center" wrapText="1"/>
    </x:xf>
  </x:cellXfs>
  <x:cellStyles count="1">
    <x:cellStyle name="Normal" xfId="0"/>
  </x:cellStyles>
  <x:dxfs count="7">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CACA"/>
        </x:patternFill>
      </x:fill>
    </x:dxf>
    <x:dxf>
      <x:font>
        <x:color rgb="FF4B5563"/>
      </x:font>
      <x:fill>
        <x:patternFill patternType="solid">
          <x:bgColor rgb="FFE5E7EB"/>
        </x:patternFill>
      </x:fill>
    </x:dxf>
    <x:dxf>
      <x:font>
        <x:b/>
        <x:color rgb="FF1E40AF"/>
      </x:font>
      <x:fill>
        <x:patternFill patternType="solid">
          <x:bgColor rgb="FFDBEAFE"/>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470d217cab142af" /><Relationship Type="http://schemas.openxmlformats.org/officeDocument/2006/relationships/theme" Target="/xl/theme/theme1.xml" Id="R1630554448304542" /><Relationship Type="http://schemas.openxmlformats.org/officeDocument/2006/relationships/sharedStrings" Target="/xl/sharedStrings.xml" Id="R68554df1ea644754" /><Relationship Type="http://schemas.openxmlformats.org/officeDocument/2006/relationships/worksheet" Target="/xl/worksheets/sheet1.xml" Id="R281faff7dc404f4f" /><Relationship Type="http://schemas.openxmlformats.org/officeDocument/2006/relationships/worksheet" Target="/xl/worksheets/sheet2.xml" Id="Rfe5dd8a5627d40c1" /><Relationship Type="http://schemas.openxmlformats.org/officeDocument/2006/relationships/worksheet" Target="/xl/worksheets/sheet3.xml" Id="R4945dbfd01a843b9" /><Relationship Type="http://schemas.openxmlformats.org/officeDocument/2006/relationships/worksheet" Target="/xl/worksheets/sheet4.xml" Id="Rdcd46c5b70954432" /><Relationship Type="http://schemas.openxmlformats.org/officeDocument/2006/relationships/worksheet" Target="/xl/worksheets/sheet5.xml" Id="Re86b6ce55fff4078" /><Relationship Type="http://schemas.openxmlformats.org/officeDocument/2006/relationships/worksheet" Target="/xl/worksheets/sheet6.xml" Id="R7289471a2eb54699" /><Relationship Type="http://schemas.openxmlformats.org/officeDocument/2006/relationships/worksheet" Target="/xl/worksheets/sheet7.xml" Id="R4bc989164b094324" /><Relationship Type="http://schemas.openxmlformats.org/officeDocument/2006/relationships/worksheet" Target="/xl/worksheets/sheet8.xml" Id="Rc2b7e49ae50b4140" /><Relationship Type="http://schemas.openxmlformats.org/officeDocument/2006/relationships/worksheet" Target="/xl/worksheets/sheet9.xml" Id="Rd2a6bc95c8874270" /></Relationships>
</file>

<file path=xl/drawings/_rels/drawing1.xml.rels>&#65279;<?xml version="1.0" encoding="utf-8"?><Relationships xmlns="http://schemas.openxmlformats.org/package/2006/relationships"><Relationship Type="http://schemas.openxmlformats.org/officeDocument/2006/relationships/chart" Target="/xl/drawings/charts/chart1.xml" Id="Rccd0531a95cf4f8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Leads por nível de confiança</a:t>
            </a:r>
          </a:p>
        </c:rich>
      </c:tx>
      <c:overlay val="0"/>
    </c:title>
    <c:autoTitleDeleted val="0"/>
    <c:plotArea>
      <c:layout/>
      <c:barChart>
        <c:barDir val="col"/>
        <c:grouping val="clustered"/>
        <c:varyColors val="0"/>
        <c:ser>
          <c:idx val="0"/>
          <c:order val="0"/>
          <c:tx>
            <c:v>Quantidade</c:v>
          </c:tx>
          <c:cat>
            <c:strRef>
              <c:f>'Dashboard Campanha'!$D$4:$D$6</c:f>
              <c:strCache>
                <c:ptCount val="0"/>
              </c:strCache>
            </c:strRef>
          </c:cat>
          <c:val>
            <c:numRef>
              <c:f>'Dashboard Campanha'!$E$4:$E$6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cd0531a95cf4f87"/>
        </a:graphicData>
      </a:graphic>
    </xdr:graphicFrame>
    <xdr:clientData/>
  </xdr:twoCellAnchor>
</xdr:wsDr>
</file>

<file path=xl/tables/table1.xml><?xml version="1.0" encoding="utf-8"?>
<x:table xmlns:x="http://schemas.openxmlformats.org/spreadsheetml/2006/main" id="1" name="CampanhaTable" displayName="CampanhaTable" ref="A1:AO252" headerRowCount="1">
  <x:tableColumns count="41">
    <x:tableColumn id="1" name="ID"/>
    <x:tableColumn id="2" name="Empresa"/>
    <x:tableColumn id="3" name="Segmento"/>
    <x:tableColumn id="4" name="Cidade"/>
    <x:tableColumn id="5" name="UF"/>
    <x:tableColumn id="6" name="Região"/>
    <x:tableColumn id="7" name="Prioridade"/>
    <x:tableColumn id="8" name="Status original"/>
    <x:tableColumn id="9" name="E-mail"/>
    <x:tableColumn id="10" name="Fonte do E-mail"/>
    <x:tableColumn id="11" name="Enviar?"/>
    <x:tableColumn id="12" name="Perfil comercial"/>
    <x:tableColumn id="13" name="Mercado regional sugerido"/>
    <x:tableColumn id="14" name="Aplicações mais aderentes"/>
    <x:tableColumn id="15" name="Produtos Parts Seals sugeridos"/>
    <x:tableColumn id="16" name="Diferencial a destacar"/>
    <x:tableColumn id="17" name="Base da personalização"/>
    <x:tableColumn id="18" name="Confiança"/>
    <x:tableColumn id="19" name="Revisão humana obrigatória"/>
    <x:tableColumn id="20" name="Assunto inicial"/>
    <x:tableColumn id="21" name="Saudação"/>
    <x:tableColumn id="22" name="E-mail inicial"/>
    <x:tableColumn id="23" name="Follow-up 1"/>
    <x:tableColumn id="24" name="Follow-up 2"/>
    <x:tableColumn id="25" name="CTA principal"/>
    <x:tableColumn id="26" name="Rodapé LGPD"/>
    <x:tableColumn id="27" name="Status campanha"/>
    <x:tableColumn id="28" name="Aprovado?"/>
    <x:tableColumn id="29" name="Data aprovação"/>
    <x:tableColumn id="30" name="Data envio 1"/>
    <x:tableColumn id="31" name="Data follow-up 1"/>
    <x:tableColumn id="32" name="Data follow-up 2"/>
    <x:tableColumn id="33" name="Resposta"/>
    <x:tableColumn id="34" name="Classificação resposta"/>
    <x:tableColumn id="35" name="Opt-out"/>
    <x:tableColumn id="36" name="Erro/Bounce"/>
    <x:tableColumn id="37" name="Observações campanha"/>
    <x:tableColumn id="38" name="Fonte regional"/>
    <x:tableColumn id="39" name="Fonte específica"/>
    <x:tableColumn id="40" name="Prompt de pesquisa futura"/>
    <x:tableColumn id="41" name="Versão"/>
  </x:tableColumns>
  <x:tableStyleInfo name="TableStyleMedium2" showRowStripes="1"/>
</x:table>
</file>

<file path=xl/tables/table2.xml><?xml version="1.0" encoding="utf-8"?>
<x:table xmlns:x="http://schemas.openxmlformats.org/spreadsheetml/2006/main" id="2" name="RegrasSegmentosTable" displayName="RegrasSegmentosTable" ref="A1:F24" headerRowCount="1">
  <x:tableColumns count="6">
    <x:tableColumn id="1" name="Segmento"/>
    <x:tableColumn id="2" name="Perfil"/>
    <x:tableColumn id="3" name="Aplicações aderentes"/>
    <x:tableColumn id="4" name="Produtos sugeridos"/>
    <x:tableColumn id="5" name="Diferencial"/>
    <x:tableColumn id="6" name="Pergunta/CTA"/>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4e0cd24b25984507" /></Relationships>
</file>

<file path=xl/worksheets/_rels/sheet5.xml.rels>&#65279;<?xml version="1.0" encoding="utf-8"?><Relationships xmlns="http://schemas.openxmlformats.org/package/2006/relationships"><Relationship Type="http://schemas.openxmlformats.org/officeDocument/2006/relationships/drawing" Target="/xl/drawings/drawing1.xml" Id="R0da6edcc57554915" /></Relationships>
</file>

<file path=xl/worksheets/_rels/sheet7.xml.rels>&#65279;<?xml version="1.0" encoding="utf-8"?><Relationships xmlns="http://schemas.openxmlformats.org/package/2006/relationships"><Relationship Type="http://schemas.openxmlformats.org/officeDocument/2006/relationships/table" Target="/xl/tables/table2.xml" Id="R8692db00c66347e0" /></Relationships>
</file>

<file path=xl/worksheets/sheet1.xml><?xml version="1.0" encoding="utf-8"?>
<x:worksheet xmlns:x="http://schemas.openxmlformats.org/spreadsheetml/2006/main">
  <x:sheetFormatPr baseColWidth="8" defaultRowHeight="15"/>
  <x:cols>
    <x:col min="1" max="1" width="5" customWidth="1"/>
    <x:col min="2" max="2" width="42" customWidth="1"/>
    <x:col min="3" max="3" width="24" customWidth="1"/>
    <x:col min="4" max="4" width="20" customWidth="1"/>
    <x:col min="5" max="5" width="5" customWidth="1"/>
    <x:col min="6" max="6" width="13" customWidth="1"/>
    <x:col min="7" max="7" width="18" customWidth="1"/>
    <x:col min="8" max="8" width="46" customWidth="1"/>
    <x:col min="9" max="9" width="11" customWidth="1"/>
    <x:col min="10" max="10" width="13" customWidth="1"/>
    <x:col min="11" max="11" width="8" customWidth="1"/>
    <x:col min="12" max="12" width="12" customWidth="1"/>
    <x:col min="13" max="13" width="16" customWidth="1"/>
    <x:col min="14" max="14" width="14" customWidth="1"/>
    <x:col min="15" max="15" width="18" customWidth="1"/>
    <x:col min="16" max="16" width="30" hidden="0" customWidth="1"/>
    <x:col min="17" max="17" width="18" customWidth="1"/>
    <x:col min="18" max="18" width="14" customWidth="1"/>
    <x:col min="19" max="19" width="26" customWidth="1"/>
    <x:col min="20" max="20" width="32" customWidth="1"/>
    <x:col min="21" max="21" width="46" hidden="0" customWidth="1"/>
  </x:cols>
  <x:sheetData>
    <x:row r="1">
      <x:c r="A1" s="1" t="inlineStr">
        <x:is>
          <x:t xml:space="preserve">ID</x:t>
        </x:is>
      </x:c>
      <x:c r="B1" s="1" t="inlineStr">
        <x:is>
          <x:t xml:space="preserve">Empresa</x:t>
        </x:is>
      </x:c>
      <x:c r="C1" s="1" t="inlineStr">
        <x:is>
          <x:t xml:space="preserve">Segmento</x:t>
        </x:is>
      </x:c>
      <x:c r="D1" s="1" t="inlineStr">
        <x:is>
          <x:t xml:space="preserve">Cidade</x:t>
        </x:is>
      </x:c>
      <x:c r="E1" s="1" t="inlineStr">
        <x:is>
          <x:t xml:space="preserve">UF</x:t>
        </x:is>
      </x:c>
      <x:c r="F1" s="1" t="inlineStr">
        <x:is>
          <x:t xml:space="preserve">Região</x:t>
        </x:is>
      </x:c>
      <x:c r="G1" s="1" t="inlineStr">
        <x:is>
          <x:t xml:space="preserve">Telefone</x:t>
        </x:is>
      </x:c>
      <x:c r="H1" s="1" t="inlineStr">
        <x:is>
          <x:t xml:space="preserve">Endereço</x:t>
        </x:is>
      </x:c>
      <x:c r="I1" s="1" t="inlineStr">
        <x:is>
          <x:t xml:space="preserve">Nota Google</x:t>
        </x:is>
      </x:c>
      <x:c r="J1" s="1" t="inlineStr">
        <x:is>
          <x:t xml:space="preserve">Nº Avaliações</x:t>
        </x:is>
      </x:c>
      <x:c r="K1" s="1" t="inlineStr">
        <x:is>
          <x:t xml:space="preserve">Score</x:t>
        </x:is>
      </x:c>
      <x:c r="L1" s="1" t="inlineStr">
        <x:is>
          <x:t xml:space="preserve">Prioridade</x:t>
        </x:is>
      </x:c>
      <x:c r="M1" s="1" t="inlineStr">
        <x:is>
          <x:t xml:space="preserve">Status</x:t>
        </x:is>
      </x:c>
      <x:c r="N1" s="1" t="inlineStr">
        <x:is>
          <x:t xml:space="preserve">Responsável</x:t>
        </x:is>
      </x:c>
      <x:c r="O1" s="1" t="inlineStr">
        <x:is>
          <x:t xml:space="preserve">Contato (nome)</x:t>
        </x:is>
      </x:c>
      <x:c r="P1" s="1" t="inlineStr">
        <x:is>
          <x:t xml:space="preserve">E-mail</x:t>
        </x:is>
      </x:c>
      <x:c r="Q1" s="1" t="inlineStr">
        <x:is>
          <x:t xml:space="preserve">WhatsApp</x:t>
        </x:is>
      </x:c>
      <x:c r="R1" s="1" t="inlineStr">
        <x:is>
          <x:t xml:space="preserve">Data 1º Contato</x:t>
        </x:is>
      </x:c>
      <x:c r="S1" s="1" t="inlineStr">
        <x:is>
          <x:t xml:space="preserve">Próximo Passo</x:t>
        </x:is>
      </x:c>
      <x:c r="T1" s="1" t="inlineStr">
        <x:is>
          <x:t xml:space="preserve">Observações</x:t>
        </x:is>
      </x:c>
      <x:c r="U1" s="1" t="inlineStr">
        <x:is>
          <x:t xml:space="preserve">Fonte do E-mail</x:t>
        </x:is>
      </x:c>
    </x:row>
    <x:row r="2">
      <x:c r="A2" s="2" t="n">
        <x:v>1</x:v>
      </x:c>
      <x:c r="B2" s="3" t="inlineStr">
        <x:is>
          <x:t xml:space="preserve">C T Neto Cld Vedações</x:t>
        </x:is>
      </x:c>
      <x:c r="C2" s="3" t="inlineStr">
        <x:is>
          <x:t xml:space="preserve">Fabricante/Vedações</x:t>
        </x:is>
      </x:c>
      <x:c r="D2" s="3" t="inlineStr">
        <x:is>
          <x:t xml:space="preserve">Serra</x:t>
        </x:is>
      </x:c>
      <x:c r="E2" s="2" t="inlineStr">
        <x:is>
          <x:t xml:space="preserve">ES</x:t>
        </x:is>
      </x:c>
      <x:c r="F2" s="2" t="inlineStr">
        <x:is>
          <x:t xml:space="preserve">Sudeste</x:t>
        </x:is>
      </x:c>
      <x:c r="G2" s="3" t="inlineStr">
        <x:is>
          <x:t xml:space="preserve">+55 27 3065-5353</x:t>
        </x:is>
      </x:c>
      <x:c r="H2" s="3" t="inlineStr">
        <x:is>
          <x:t xml:space="preserve">R. Pedro Zangrande, 1304 - Jd. Limoeiro</x:t>
        </x:is>
      </x:c>
      <x:c r="I2" s="4" t="n"/>
      <x:c r="J2" s="2" t="n"/>
      <x:c r="K2" s="2" t="str">
        <x:f>IF(OR(I2="",J2=""),"",IFERROR(ROUND(I2*LN(J2+1),1),""))</x:f>
      </x:c>
      <x:c r="L2" s="2" t="str">
        <x:f>IF(K2="","Sem dados - qualificar",IF(K2&gt;=15,"A - Alta",IF(K2&gt;=8,"B - Média","C - Baixa")))</x:f>
        <x:v>Sem dados - qualificar</x:v>
      </x:c>
      <x:c r="M2" s="2" t="inlineStr">
        <x:is>
          <x:t xml:space="preserve">Não contatado</x:t>
        </x:is>
      </x:c>
      <x:c r="N2" s="3" t="inlineStr">
        <x:is>
          <x:t xml:space="preserve"/>
        </x:is>
      </x:c>
      <x:c r="O2" s="3" t="inlineStr">
        <x:is>
          <x:t xml:space="preserve"/>
        </x:is>
      </x:c>
      <x:c r="P2" s="26" t="str"/>
      <x:c r="Q2" s="3" t="inlineStr">
        <x:is>
          <x:t xml:space="preserve"/>
        </x:is>
      </x:c>
      <x:c r="R2" s="5" t="n"/>
      <x:c r="S2" s="3" t="inlineStr">
        <x:is>
          <x:t xml:space="preserve"/>
        </x:is>
      </x:c>
      <x:c r="T2" s="3" t="inlineStr">
        <x:is>
          <x:t xml:space="preserve"/>
        </x:is>
      </x:c>
      <x:c r="U2" s="26" t="str">
        <x:v>Não localizado em fonte pública confiável até 24/07/2026</x:v>
      </x:c>
    </x:row>
    <x:row r="3">
      <x:c r="A3" s="2" t="n">
        <x:v>2</x:v>
      </x:c>
      <x:c r="B3" s="3" t="inlineStr">
        <x:is>
          <x:t xml:space="preserve">HF Vedações</x:t>
        </x:is>
      </x:c>
      <x:c r="C3" s="3" t="inlineStr">
        <x:is>
          <x:t xml:space="preserve">Vedações</x:t>
        </x:is>
      </x:c>
      <x:c r="D3" s="3" t="inlineStr">
        <x:is>
          <x:t xml:space="preserve">Serra</x:t>
        </x:is>
      </x:c>
      <x:c r="E3" s="2" t="inlineStr">
        <x:is>
          <x:t xml:space="preserve">ES</x:t>
        </x:is>
      </x:c>
      <x:c r="F3" s="2" t="inlineStr">
        <x:is>
          <x:t xml:space="preserve">Sudeste</x:t>
        </x:is>
      </x:c>
      <x:c r="G3" s="3" t="inlineStr">
        <x:is>
          <x:t xml:space="preserve">+55 27 3228-7969</x:t>
        </x:is>
      </x:c>
      <x:c r="H3" s="3" t="inlineStr">
        <x:is>
          <x:t xml:space="preserve">R. Castelo, 670 - Jd. Limoeiro</x:t>
        </x:is>
      </x:c>
      <x:c r="I3" s="4" t="n">
        <x:v>4.4</x:v>
      </x:c>
      <x:c r="J3" s="2" t="n">
        <x:v>49</x:v>
      </x:c>
      <x:c r="K3" s="2" t="n">
        <x:f>IF(OR(I3="",J3=""),"",IFERROR(ROUND(I3*LN(J3+1),1),""))</x:f>
        <x:v>17.2</x:v>
      </x:c>
      <x:c r="L3" s="2" t="str">
        <x:f>IF(K3="","Sem dados - qualificar",IF(K3&gt;=15,"A - Alta",IF(K3&gt;=8,"B - Média","C - Baixa")))</x:f>
        <x:v>A - Alta</x:v>
      </x:c>
      <x:c r="M3" s="2" t="inlineStr">
        <x:is>
          <x:t xml:space="preserve">Não contatado</x:t>
        </x:is>
      </x:c>
      <x:c r="N3" s="3" t="inlineStr">
        <x:is>
          <x:t xml:space="preserve"/>
        </x:is>
      </x:c>
      <x:c r="O3" s="3" t="inlineStr">
        <x:is>
          <x:t xml:space="preserve"/>
        </x:is>
      </x:c>
      <x:c r="P3" s="26" t="str">
        <x:v>comercial@hfvedacoes.com.br</x:v>
      </x:c>
      <x:c r="Q3" s="3" t="inlineStr">
        <x:is>
          <x:t xml:space="preserve"/>
        </x:is>
      </x:c>
      <x:c r="R3" s="5" t="n"/>
      <x:c r="S3" s="3" t="inlineStr">
        <x:is>
          <x:t xml:space="preserve"/>
        </x:is>
      </x:c>
      <x:c r="T3" s="3" t="inlineStr">
        <x:is>
          <x:t xml:space="preserve"/>
        </x:is>
      </x:c>
      <x:c r="U3" s="26" t="str">
        <x:v>https://hfvedacoes.com.br/</x:v>
      </x:c>
    </x:row>
    <x:row r="4">
      <x:c r="A4" s="2" t="n">
        <x:v>3</x:v>
      </x:c>
      <x:c r="B4" s="3" t="inlineStr">
        <x:is>
          <x:t xml:space="preserve">Império Vix Mangueiras e Conexões</x:t>
        </x:is>
      </x:c>
      <x:c r="C4" s="3" t="inlineStr">
        <x:is>
          <x:t xml:space="preserve">Hidráulica/Vedações</x:t>
        </x:is>
      </x:c>
      <x:c r="D4" s="3" t="inlineStr">
        <x:is>
          <x:t xml:space="preserve">Serra</x:t>
        </x:is>
      </x:c>
      <x:c r="E4" s="2" t="inlineStr">
        <x:is>
          <x:t xml:space="preserve">ES</x:t>
        </x:is>
      </x:c>
      <x:c r="F4" s="2" t="inlineStr">
        <x:is>
          <x:t xml:space="preserve">Sudeste</x:t>
        </x:is>
      </x:c>
      <x:c r="G4" s="3" t="inlineStr">
        <x:is>
          <x:t xml:space="preserve">+55 27 98133-7474</x:t>
        </x:is>
      </x:c>
      <x:c r="H4" s="3" t="inlineStr">
        <x:is>
          <x:t xml:space="preserve">Av. Lourival Nunes, 1255 - Jd. Limoeiro</x:t>
        </x:is>
      </x:c>
      <x:c r="I4" s="4" t="n">
        <x:v>5</x:v>
      </x:c>
      <x:c r="J4" s="2" t="n">
        <x:v>21</x:v>
      </x:c>
      <x:c r="K4" s="2" t="n">
        <x:f>IF(OR(I4="",J4=""),"",IFERROR(ROUND(I4*LN(J4+1),1),""))</x:f>
        <x:v>15.5</x:v>
      </x:c>
      <x:c r="L4" s="2" t="str">
        <x:f>IF(K4="","Sem dados - qualificar",IF(K4&gt;=15,"A - Alta",IF(K4&gt;=8,"B - Média","C - Baixa")))</x:f>
        <x:v>A - Alta</x:v>
      </x:c>
      <x:c r="M4" s="2" t="inlineStr">
        <x:is>
          <x:t xml:space="preserve">Não contatado</x:t>
        </x:is>
      </x:c>
      <x:c r="N4" s="3" t="inlineStr">
        <x:is>
          <x:t xml:space="preserve"/>
        </x:is>
      </x:c>
      <x:c r="O4" s="3" t="inlineStr">
        <x:is>
          <x:t xml:space="preserve"/>
        </x:is>
      </x:c>
      <x:c r="P4" s="26" t="str">
        <x:v>comercial@imperiovix.com.br</x:v>
      </x:c>
      <x:c r="Q4" s="3" t="inlineStr">
        <x:is>
          <x:t xml:space="preserve"/>
        </x:is>
      </x:c>
      <x:c r="R4" s="5" t="n"/>
      <x:c r="S4" s="3" t="inlineStr">
        <x:is>
          <x:t xml:space="preserve"/>
        </x:is>
      </x:c>
      <x:c r="T4" s="3" t="inlineStr">
        <x:is>
          <x:t xml:space="preserve"/>
        </x:is>
      </x:c>
      <x:c r="U4" s="26" t="str">
        <x:v>https://www.imperiovix.com.br/</x:v>
      </x:c>
    </x:row>
    <x:row r="5">
      <x:c r="A5" s="2" t="n">
        <x:v>4</x:v>
      </x:c>
      <x:c r="B5" s="3" t="inlineStr">
        <x:is>
          <x:t xml:space="preserve">JMA Vedações</x:t>
        </x:is>
      </x:c>
      <x:c r="C5" s="3" t="inlineStr">
        <x:is>
          <x:t xml:space="preserve">Vedações</x:t>
        </x:is>
      </x:c>
      <x:c r="D5" s="3" t="inlineStr">
        <x:is>
          <x:t xml:space="preserve">Serra</x:t>
        </x:is>
      </x:c>
      <x:c r="E5" s="2" t="inlineStr">
        <x:is>
          <x:t xml:space="preserve">ES</x:t>
        </x:is>
      </x:c>
      <x:c r="F5" s="2" t="inlineStr">
        <x:is>
          <x:t xml:space="preserve">Sudeste</x:t>
        </x:is>
      </x:c>
      <x:c r="G5" s="3" t="inlineStr">
        <x:is>
          <x:t xml:space="preserve">+55 27 3065-2620</x:t>
        </x:is>
      </x:c>
      <x:c r="H5" s="3" t="inlineStr">
        <x:is>
          <x:t xml:space="preserve">R. Castelo, 1004 - Jd. Limoeiro</x:t>
        </x:is>
      </x:c>
      <x:c r="I5" s="4" t="n">
        <x:v>4.7</x:v>
      </x:c>
      <x:c r="J5" s="2" t="n">
        <x:v>91</x:v>
      </x:c>
      <x:c r="K5" s="2" t="n">
        <x:f>IF(OR(I5="",J5=""),"",IFERROR(ROUND(I5*LN(J5+1),1),""))</x:f>
        <x:v>21.3</x:v>
      </x:c>
      <x:c r="L5" s="2" t="str">
        <x:f>IF(K5="","Sem dados - qualificar",IF(K5&gt;=15,"A - Alta",IF(K5&gt;=8,"B - Média","C - Baixa")))</x:f>
        <x:v>A - Alta</x:v>
      </x:c>
      <x:c r="M5" s="2" t="inlineStr">
        <x:is>
          <x:t xml:space="preserve">Não contatado</x:t>
        </x:is>
      </x:c>
      <x:c r="N5" s="3" t="inlineStr">
        <x:is>
          <x:t xml:space="preserve"/>
        </x:is>
      </x:c>
      <x:c r="O5" s="3" t="inlineStr">
        <x:is>
          <x:t xml:space="preserve"/>
        </x:is>
      </x:c>
      <x:c r="P5" s="26" t="str">
        <x:v>comercial@jmavedacoes.com.br</x:v>
      </x:c>
      <x:c r="Q5" s="3" t="inlineStr">
        <x:is>
          <x:t xml:space="preserve"/>
        </x:is>
      </x:c>
      <x:c r="R5" s="5" t="n"/>
      <x:c r="S5" s="3" t="inlineStr">
        <x:is>
          <x:t xml:space="preserve"/>
        </x:is>
      </x:c>
      <x:c r="T5" s="3" t="inlineStr">
        <x:is>
          <x:t xml:space="preserve"/>
        </x:is>
      </x:c>
      <x:c r="U5" s="26" t="str">
        <x:v>https://www.portalnacionaldaindustria.com.br/empresas/jma-vedacoes-linhares</x:v>
      </x:c>
    </x:row>
    <x:row r="6">
      <x:c r="A6" s="2" t="n">
        <x:v>5</x:v>
      </x:c>
      <x:c r="B6" s="3" t="inlineStr">
        <x:is>
          <x:t xml:space="preserve">Master Fluido Componentes e Vedações de Precisão</x:t>
        </x:is>
      </x:c>
      <x:c r="C6" s="3" t="inlineStr">
        <x:is>
          <x:t xml:space="preserve">Vedações</x:t>
        </x:is>
      </x:c>
      <x:c r="D6" s="3" t="inlineStr">
        <x:is>
          <x:t xml:space="preserve">Serra</x:t>
        </x:is>
      </x:c>
      <x:c r="E6" s="2" t="inlineStr">
        <x:is>
          <x:t xml:space="preserve">ES</x:t>
        </x:is>
      </x:c>
      <x:c r="F6" s="2" t="inlineStr">
        <x:is>
          <x:t xml:space="preserve">Sudeste</x:t>
        </x:is>
      </x:c>
      <x:c r="G6" s="3" t="inlineStr">
        <x:is>
          <x:t xml:space="preserve">+55 27 3442-6671</x:t>
        </x:is>
      </x:c>
      <x:c r="H6" s="3" t="inlineStr">
        <x:is>
          <x:t xml:space="preserve">Av. Brasil, 1170 - Novo Horizonte</x:t>
        </x:is>
      </x:c>
      <x:c r="I6" s="4" t="n">
        <x:v>5</x:v>
      </x:c>
      <x:c r="J6" s="2" t="n">
        <x:v>21</x:v>
      </x:c>
      <x:c r="K6" s="2" t="n">
        <x:f>IF(OR(I6="",J6=""),"",IFERROR(ROUND(I6*LN(J6+1),1),""))</x:f>
        <x:v>15.5</x:v>
      </x:c>
      <x:c r="L6" s="2" t="str">
        <x:f>IF(K6="","Sem dados - qualificar",IF(K6&gt;=15,"A - Alta",IF(K6&gt;=8,"B - Média","C - Baixa")))</x:f>
        <x:v>A - Alta</x:v>
      </x:c>
      <x:c r="M6" s="2" t="inlineStr">
        <x:is>
          <x:t xml:space="preserve">Não contatado</x:t>
        </x:is>
      </x:c>
      <x:c r="N6" s="3" t="inlineStr">
        <x:is>
          <x:t xml:space="preserve"/>
        </x:is>
      </x:c>
      <x:c r="O6" s="3" t="inlineStr">
        <x:is>
          <x:t xml:space="preserve"/>
        </x:is>
      </x:c>
      <x:c r="P6" s="26" t="str">
        <x:v>vendas@masterfluido.com.br</x:v>
      </x:c>
      <x:c r="Q6" s="3" t="inlineStr">
        <x:is>
          <x:t xml:space="preserve"/>
        </x:is>
      </x:c>
      <x:c r="R6" s="5" t="n"/>
      <x:c r="S6" s="3" t="inlineStr">
        <x:is>
          <x:t xml:space="preserve"/>
        </x:is>
      </x:c>
      <x:c r="T6" s="3" t="inlineStr">
        <x:is>
          <x:t xml:space="preserve"/>
        </x:is>
      </x:c>
      <x:c r="U6" s="26" t="str">
        <x:v>https://www.facebook.com/masterfluidocomponentescontagem/</x:v>
      </x:c>
    </x:row>
    <x:row r="7">
      <x:c r="A7" s="2" t="n">
        <x:v>6</x:v>
      </x:c>
      <x:c r="B7" s="3" t="inlineStr">
        <x:is>
          <x:t xml:space="preserve">Seal Técnica</x:t>
        </x:is>
      </x:c>
      <x:c r="C7" s="3" t="inlineStr">
        <x:is>
          <x:t xml:space="preserve">Vedações</x:t>
        </x:is>
      </x:c>
      <x:c r="D7" s="3" t="inlineStr">
        <x:is>
          <x:t xml:space="preserve">Serra</x:t>
        </x:is>
      </x:c>
      <x:c r="E7" s="2" t="inlineStr">
        <x:is>
          <x:t xml:space="preserve">ES</x:t>
        </x:is>
      </x:c>
      <x:c r="F7" s="2" t="inlineStr">
        <x:is>
          <x:t xml:space="preserve">Sudeste</x:t>
        </x:is>
      </x:c>
      <x:c r="G7" s="3" t="inlineStr">
        <x:is>
          <x:t xml:space="preserve">+55 27 3328-2901</x:t>
        </x:is>
      </x:c>
      <x:c r="H7" s="3" t="inlineStr">
        <x:is>
          <x:t xml:space="preserve">Rod. ES-010, 70 - Jd. Limoeiro</x:t>
        </x:is>
      </x:c>
      <x:c r="I7" s="4" t="n">
        <x:v>4.3</x:v>
      </x:c>
      <x:c r="J7" s="2" t="n">
        <x:v>36</x:v>
      </x:c>
      <x:c r="K7" s="2" t="n">
        <x:f>IF(OR(I7="",J7=""),"",IFERROR(ROUND(I7*LN(J7+1),1),""))</x:f>
        <x:v>15.5</x:v>
      </x:c>
      <x:c r="L7" s="2" t="str">
        <x:f>IF(K7="","Sem dados - qualificar",IF(K7&gt;=15,"A - Alta",IF(K7&gt;=8,"B - Média","C - Baixa")))</x:f>
        <x:v>A - Alta</x:v>
      </x:c>
      <x:c r="M7" s="2" t="inlineStr">
        <x:is>
          <x:t xml:space="preserve">Não contatado</x:t>
        </x:is>
      </x:c>
      <x:c r="N7" s="3" t="inlineStr">
        <x:is>
          <x:t xml:space="preserve"/>
        </x:is>
      </x:c>
      <x:c r="O7" s="3" t="inlineStr">
        <x:is>
          <x:t xml:space="preserve"/>
        </x:is>
      </x:c>
      <x:c r="P7" s="26" t="str"/>
      <x:c r="Q7" s="3" t="inlineStr">
        <x:is>
          <x:t xml:space="preserve"/>
        </x:is>
      </x:c>
      <x:c r="R7" s="5" t="n"/>
      <x:c r="S7" s="3" t="inlineStr">
        <x:is>
          <x:t xml:space="preserve"/>
        </x:is>
      </x:c>
      <x:c r="T7" s="3" t="inlineStr">
        <x:is>
          <x:t xml:space="preserve"/>
        </x:is>
      </x:c>
      <x:c r="U7" s="26" t="str">
        <x:v>Não localizado em fonte pública confiável até 24/07/2026</x:v>
      </x:c>
    </x:row>
    <x:row r="8">
      <x:c r="A8" s="2" t="n">
        <x:v>7</x:v>
      </x:c>
      <x:c r="B8" s="3" t="inlineStr">
        <x:is>
          <x:t xml:space="preserve">Só Kits</x:t>
        </x:is>
      </x:c>
      <x:c r="C8" s="3" t="inlineStr">
        <x:is>
          <x:t xml:space="preserve">Vedações/Kits</x:t>
        </x:is>
      </x:c>
      <x:c r="D8" s="3" t="inlineStr">
        <x:is>
          <x:t xml:space="preserve">Serra</x:t>
        </x:is>
      </x:c>
      <x:c r="E8" s="2" t="inlineStr">
        <x:is>
          <x:t xml:space="preserve">ES</x:t>
        </x:is>
      </x:c>
      <x:c r="F8" s="2" t="inlineStr">
        <x:is>
          <x:t xml:space="preserve">Sudeste</x:t>
        </x:is>
      </x:c>
      <x:c r="G8" s="3" t="inlineStr">
        <x:is>
          <x:t xml:space="preserve">+55 27 3209-1240</x:t>
        </x:is>
      </x:c>
      <x:c r="H8" s="3" t="inlineStr">
        <x:is>
          <x:t xml:space="preserve">R. Euclides da Cunha, 111 - Jd. Limoeiro</x:t>
        </x:is>
      </x:c>
      <x:c r="I8" s="4" t="n">
        <x:v>4.9</x:v>
      </x:c>
      <x:c r="J8" s="2" t="n">
        <x:v>33</x:v>
      </x:c>
      <x:c r="K8" s="2" t="n">
        <x:f>IF(OR(I8="",J8=""),"",IFERROR(ROUND(I8*LN(J8+1),1),""))</x:f>
        <x:v>17.3</x:v>
      </x:c>
      <x:c r="L8" s="2" t="str">
        <x:f>IF(K8="","Sem dados - qualificar",IF(K8&gt;=15,"A - Alta",IF(K8&gt;=8,"B - Média","C - Baixa")))</x:f>
        <x:v>A - Alta</x:v>
      </x:c>
      <x:c r="M8" s="2" t="inlineStr">
        <x:is>
          <x:t xml:space="preserve">Não contatado</x:t>
        </x:is>
      </x:c>
      <x:c r="N8" s="3" t="inlineStr">
        <x:is>
          <x:t xml:space="preserve"/>
        </x:is>
      </x:c>
      <x:c r="O8" s="3" t="inlineStr">
        <x:is>
          <x:t xml:space="preserve"/>
        </x:is>
      </x:c>
      <x:c r="P8" s="26" t="str"/>
      <x:c r="Q8" s="3" t="inlineStr">
        <x:is>
          <x:t xml:space="preserve"/>
        </x:is>
      </x:c>
      <x:c r="R8" s="5" t="n"/>
      <x:c r="S8" s="3" t="inlineStr">
        <x:is>
          <x:t xml:space="preserve"/>
        </x:is>
      </x:c>
      <x:c r="T8" s="3" t="inlineStr">
        <x:is>
          <x:t xml:space="preserve"/>
        </x:is>
      </x:c>
      <x:c r="U8" s="26" t="str">
        <x:v>Não localizado em fonte pública confiável até 24/07/2026</x:v>
      </x:c>
    </x:row>
    <x:row r="9">
      <x:c r="A9" s="2" t="n">
        <x:v>8</x:v>
      </x:c>
      <x:c r="B9" s="3" t="inlineStr">
        <x:is>
          <x:t xml:space="preserve">Vedaflex Vedações Industriais</x:t>
        </x:is>
      </x:c>
      <x:c r="C9" s="3" t="inlineStr">
        <x:is>
          <x:t xml:space="preserve">Fabricante/Vedações</x:t>
        </x:is>
      </x:c>
      <x:c r="D9" s="3" t="inlineStr">
        <x:is>
          <x:t xml:space="preserve">Serra</x:t>
        </x:is>
      </x:c>
      <x:c r="E9" s="2" t="inlineStr">
        <x:is>
          <x:t xml:space="preserve">ES</x:t>
        </x:is>
      </x:c>
      <x:c r="F9" s="2" t="inlineStr">
        <x:is>
          <x:t xml:space="preserve">Sudeste</x:t>
        </x:is>
      </x:c>
      <x:c r="G9" s="3" t="inlineStr">
        <x:is>
          <x:t xml:space="preserve">+55 27 3328-3420</x:t>
        </x:is>
      </x:c>
      <x:c r="H9" s="3" t="inlineStr">
        <x:is>
          <x:t xml:space="preserve">Av. Terceira Avenida, 10 - São Diogo I</x:t>
        </x:is>
      </x:c>
      <x:c r="I9" s="4" t="n">
        <x:v>4.8</x:v>
      </x:c>
      <x:c r="J9" s="2" t="n">
        <x:v>12</x:v>
      </x:c>
      <x:c r="K9" s="2" t="n">
        <x:f>IF(OR(I9="",J9=""),"",IFERROR(ROUND(I9*LN(J9+1),1),""))</x:f>
        <x:v>12.3</x:v>
      </x:c>
      <x:c r="L9" s="2" t="str">
        <x:f>IF(K9="","Sem dados - qualificar",IF(K9&gt;=15,"A - Alta",IF(K9&gt;=8,"B - Média","C - Baixa")))</x:f>
        <x:v>B - Média</x:v>
      </x:c>
      <x:c r="M9" s="2" t="inlineStr">
        <x:is>
          <x:t xml:space="preserve">Não contatado</x:t>
        </x:is>
      </x:c>
      <x:c r="N9" s="3" t="inlineStr">
        <x:is>
          <x:t xml:space="preserve"/>
        </x:is>
      </x:c>
      <x:c r="O9" s="3" t="inlineStr">
        <x:is>
          <x:t xml:space="preserve"/>
        </x:is>
      </x:c>
      <x:c r="P9" s="26" t="str"/>
      <x:c r="Q9" s="3" t="inlineStr">
        <x:is>
          <x:t xml:space="preserve"/>
        </x:is>
      </x:c>
      <x:c r="R9" s="5" t="n"/>
      <x:c r="S9" s="3" t="inlineStr">
        <x:is>
          <x:t xml:space="preserve"/>
        </x:is>
      </x:c>
      <x:c r="T9" s="3" t="inlineStr">
        <x:is>
          <x:t xml:space="preserve"/>
        </x:is>
      </x:c>
      <x:c r="U9" s="26" t="str">
        <x:v>Não localizado em fonte pública confiável até 24/07/2026</x:v>
      </x:c>
    </x:row>
    <x:row r="10">
      <x:c r="A10" s="2" t="n">
        <x:v>9</x:v>
      </x:c>
      <x:c r="B10" s="3" t="inlineStr">
        <x:is>
          <x:t xml:space="preserve">BH Juntas Comércio</x:t>
        </x:is>
      </x:c>
      <x:c r="C10" s="3" t="inlineStr">
        <x:is>
          <x:t xml:space="preserve">Juntas/Vedações</x:t>
        </x:is>
      </x:c>
      <x:c r="D10" s="3" t="inlineStr">
        <x:is>
          <x:t xml:space="preserve">Belo Horizonte</x:t>
        </x:is>
      </x:c>
      <x:c r="E10" s="2" t="inlineStr">
        <x:is>
          <x:t xml:space="preserve">MG</x:t>
        </x:is>
      </x:c>
      <x:c r="F10" s="2" t="inlineStr">
        <x:is>
          <x:t xml:space="preserve">Sudeste</x:t>
        </x:is>
      </x:c>
      <x:c r="G10" s="3" t="inlineStr">
        <x:is>
          <x:t xml:space="preserve">+55 31 3223-7663</x:t>
        </x:is>
      </x:c>
      <x:c r="H10" s="3" t="inlineStr">
        <x:is>
          <x:t xml:space="preserve">Av. Catulo da Paixão Cearense, 274 - Barreiro</x:t>
        </x:is>
      </x:c>
      <x:c r="I10" s="4" t="n">
        <x:v>4.6</x:v>
      </x:c>
      <x:c r="J10" s="2" t="n">
        <x:v>10</x:v>
      </x:c>
      <x:c r="K10" s="2" t="n">
        <x:f>IF(OR(I10="",J10=""),"",IFERROR(ROUND(I10*LN(J10+1),1),""))</x:f>
        <x:v>11</x:v>
      </x:c>
      <x:c r="L10" s="2" t="str">
        <x:f>IF(K10="","Sem dados - qualificar",IF(K10&gt;=15,"A - Alta",IF(K10&gt;=8,"B - Média","C - Baixa")))</x:f>
        <x:v>B - Média</x:v>
      </x:c>
      <x:c r="M10" s="2" t="inlineStr">
        <x:is>
          <x:t xml:space="preserve">Não contatado</x:t>
        </x:is>
      </x:c>
      <x:c r="N10" s="3" t="inlineStr">
        <x:is>
          <x:t xml:space="preserve"/>
        </x:is>
      </x:c>
      <x:c r="O10" s="3" t="inlineStr">
        <x:is>
          <x:t xml:space="preserve"/>
        </x:is>
      </x:c>
      <x:c r="P10" s="26" t="str">
        <x:v>contato@bhjuntas.com.br</x:v>
      </x:c>
      <x:c r="Q10" s="3" t="inlineStr">
        <x:is>
          <x:t xml:space="preserve"/>
        </x:is>
      </x:c>
      <x:c r="R10" s="5" t="n"/>
      <x:c r="S10" s="3" t="inlineStr">
        <x:is>
          <x:t xml:space="preserve"/>
        </x:is>
      </x:c>
      <x:c r="T10" s="3" t="inlineStr">
        <x:is>
          <x:t xml:space="preserve"/>
        </x:is>
      </x:c>
      <x:c r="U10" s="26" t="str">
        <x:v>https://bhjuntas.com.br/fale-conosco/</x:v>
      </x:c>
    </x:row>
    <x:row r="11">
      <x:c r="A11" s="2" t="n">
        <x:v>10</x:v>
      </x:c>
      <x:c r="B11" s="3" t="inlineStr">
        <x:is>
          <x:t xml:space="preserve">BH Vedações</x:t>
        </x:is>
      </x:c>
      <x:c r="C11" s="3" t="inlineStr">
        <x:is>
          <x:t xml:space="preserve">Vedações</x:t>
        </x:is>
      </x:c>
      <x:c r="D11" s="3" t="inlineStr">
        <x:is>
          <x:t xml:space="preserve">Belo Horizonte</x:t>
        </x:is>
      </x:c>
      <x:c r="E11" s="2" t="inlineStr">
        <x:is>
          <x:t xml:space="preserve">MG</x:t>
        </x:is>
      </x:c>
      <x:c r="F11" s="2" t="inlineStr">
        <x:is>
          <x:t xml:space="preserve">Sudeste</x:t>
        </x:is>
      </x:c>
      <x:c r="G11" s="3" t="inlineStr">
        <x:is>
          <x:t xml:space="preserve">+55 31 3201-7010</x:t>
        </x:is>
      </x:c>
      <x:c r="H11" s="3" t="inlineStr">
        <x:is>
          <x:t xml:space="preserve">Av. N. Sra. de Fátima, 2141 - Carlos Prates</x:t>
        </x:is>
      </x:c>
      <x:c r="I11" s="4" t="n">
        <x:v>4.7</x:v>
      </x:c>
      <x:c r="J11" s="2" t="n">
        <x:v>48</x:v>
      </x:c>
      <x:c r="K11" s="2" t="n">
        <x:f>IF(OR(I11="",J11=""),"",IFERROR(ROUND(I11*LN(J11+1),1),""))</x:f>
        <x:v>18.3</x:v>
      </x:c>
      <x:c r="L11" s="2" t="str">
        <x:f>IF(K11="","Sem dados - qualificar",IF(K11&gt;=15,"A - Alta",IF(K11&gt;=8,"B - Média","C - Baixa")))</x:f>
        <x:v>A - Alta</x:v>
      </x:c>
      <x:c r="M11" s="2" t="inlineStr">
        <x:is>
          <x:t xml:space="preserve">Não contatado</x:t>
        </x:is>
      </x:c>
      <x:c r="N11" s="3" t="inlineStr">
        <x:is>
          <x:t xml:space="preserve"/>
        </x:is>
      </x:c>
      <x:c r="O11" s="3" t="inlineStr">
        <x:is>
          <x:t xml:space="preserve"/>
        </x:is>
      </x:c>
      <x:c r="P11" s="26" t="str"/>
      <x:c r="Q11" s="3" t="inlineStr">
        <x:is>
          <x:t xml:space="preserve"/>
        </x:is>
      </x:c>
      <x:c r="R11" s="5" t="n"/>
      <x:c r="S11" s="3" t="inlineStr">
        <x:is>
          <x:t xml:space="preserve"/>
        </x:is>
      </x:c>
      <x:c r="T11" s="3" t="inlineStr">
        <x:is>
          <x:t xml:space="preserve"/>
        </x:is>
      </x:c>
      <x:c r="U11" s="26" t="str">
        <x:v>Não localizado em fonte pública confiável até 24/07/2026</x:v>
      </x:c>
    </x:row>
    <x:row r="12">
      <x:c r="A12" s="2" t="n">
        <x:v>11</x:v>
      </x:c>
      <x:c r="B12" s="3" t="inlineStr">
        <x:is>
          <x:t xml:space="preserve">Casa das Vedações</x:t>
        </x:is>
      </x:c>
      <x:c r="C12" s="3" t="inlineStr">
        <x:is>
          <x:t xml:space="preserve">Vedações</x:t>
        </x:is>
      </x:c>
      <x:c r="D12" s="3" t="inlineStr">
        <x:is>
          <x:t xml:space="preserve">Belo Horizonte</x:t>
        </x:is>
      </x:c>
      <x:c r="E12" s="2" t="inlineStr">
        <x:is>
          <x:t xml:space="preserve">MG</x:t>
        </x:is>
      </x:c>
      <x:c r="F12" s="2" t="inlineStr">
        <x:is>
          <x:t xml:space="preserve">Sudeste</x:t>
        </x:is>
      </x:c>
      <x:c r="G12" s="3" t="inlineStr">
        <x:is>
          <x:t xml:space="preserve">+55 31 3295-5204</x:t>
        </x:is>
      </x:c>
      <x:c r="H12" s="3" t="inlineStr">
        <x:is>
          <x:t xml:space="preserve">Rua dos Tupis, 1659 - Barro Preto</x:t>
        </x:is>
      </x:c>
      <x:c r="I12" s="4" t="n">
        <x:v>5</x:v>
      </x:c>
      <x:c r="J12" s="2" t="n">
        <x:v>11</x:v>
      </x:c>
      <x:c r="K12" s="2" t="n">
        <x:f>IF(OR(I12="",J12=""),"",IFERROR(ROUND(I12*LN(J12+1),1),""))</x:f>
        <x:v>12.4</x:v>
      </x:c>
      <x:c r="L12" s="2" t="str">
        <x:f>IF(K12="","Sem dados - qualificar",IF(K12&gt;=15,"A - Alta",IF(K12&gt;=8,"B - Média","C - Baixa")))</x:f>
        <x:v>B - Média</x:v>
      </x:c>
      <x:c r="M12" s="2" t="inlineStr">
        <x:is>
          <x:t xml:space="preserve">Não contatado</x:t>
        </x:is>
      </x:c>
      <x:c r="N12" s="3" t="inlineStr">
        <x:is>
          <x:t xml:space="preserve"/>
        </x:is>
      </x:c>
      <x:c r="O12" s="3" t="inlineStr">
        <x:is>
          <x:t xml:space="preserve"/>
        </x:is>
      </x:c>
      <x:c r="P12" s="26" t="str"/>
      <x:c r="Q12" s="3" t="inlineStr">
        <x:is>
          <x:t xml:space="preserve"/>
        </x:is>
      </x:c>
      <x:c r="R12" s="5" t="n"/>
      <x:c r="S12" s="3" t="inlineStr">
        <x:is>
          <x:t xml:space="preserve"/>
        </x:is>
      </x:c>
      <x:c r="T12" s="3" t="inlineStr">
        <x:is>
          <x:t xml:space="preserve"/>
        </x:is>
      </x:c>
      <x:c r="U12" s="26" t="str">
        <x:v>Não localizado em fonte pública confiável até 24/07/2026</x:v>
      </x:c>
    </x:row>
    <x:row r="13">
      <x:c r="A13" s="2" t="n">
        <x:v>12</x:v>
      </x:c>
      <x:c r="B13" s="3" t="inlineStr">
        <x:is>
          <x:t xml:space="preserve">Casa dos Retentores</x:t>
        </x:is>
      </x:c>
      <x:c r="C13" s="3" t="inlineStr">
        <x:is>
          <x:t xml:space="preserve">Vedações</x:t>
        </x:is>
      </x:c>
      <x:c r="D13" s="3" t="inlineStr">
        <x:is>
          <x:t xml:space="preserve">Belo Horizonte</x:t>
        </x:is>
      </x:c>
      <x:c r="E13" s="2" t="inlineStr">
        <x:is>
          <x:t xml:space="preserve">MG</x:t>
        </x:is>
      </x:c>
      <x:c r="F13" s="2" t="inlineStr">
        <x:is>
          <x:t xml:space="preserve">Sudeste</x:t>
        </x:is>
      </x:c>
      <x:c r="G13" s="3" t="inlineStr">
        <x:is>
          <x:t xml:space="preserve">+55 31 3201-2334</x:t>
        </x:is>
      </x:c>
      <x:c r="H13" s="3" t="inlineStr">
        <x:is>
          <x:t xml:space="preserve">Rua dos Tupis, 1642 - Barro Preto</x:t>
        </x:is>
      </x:c>
      <x:c r="I13" s="4" t="n">
        <x:v>5</x:v>
      </x:c>
      <x:c r="J13" s="2" t="n">
        <x:v>13</x:v>
      </x:c>
      <x:c r="K13" s="2" t="n">
        <x:f>IF(OR(I13="",J13=""),"",IFERROR(ROUND(I13*LN(J13+1),1),""))</x:f>
        <x:v>13.2</x:v>
      </x:c>
      <x:c r="L13" s="2" t="str">
        <x:f>IF(K13="","Sem dados - qualificar",IF(K13&gt;=15,"A - Alta",IF(K13&gt;=8,"B - Média","C - Baixa")))</x:f>
        <x:v>B - Média</x:v>
      </x:c>
      <x:c r="M13" s="2" t="inlineStr">
        <x:is>
          <x:t xml:space="preserve">Não contatado</x:t>
        </x:is>
      </x:c>
      <x:c r="N13" s="3" t="inlineStr">
        <x:is>
          <x:t xml:space="preserve"/>
        </x:is>
      </x:c>
      <x:c r="O13" s="3" t="inlineStr">
        <x:is>
          <x:t xml:space="preserve"/>
        </x:is>
      </x:c>
      <x:c r="P13" s="26" t="str">
        <x:v>vendas@totalvedacoes.com.br</x:v>
      </x:c>
      <x:c r="Q13" s="3" t="inlineStr">
        <x:is>
          <x:t xml:space="preserve"/>
        </x:is>
      </x:c>
      <x:c r="R13" s="5" t="n"/>
      <x:c r="S13" s="3" t="inlineStr">
        <x:is>
          <x:t xml:space="preserve"/>
        </x:is>
      </x:c>
      <x:c r="T13" s="3" t="inlineStr">
        <x:is>
          <x:t xml:space="preserve"/>
        </x:is>
      </x:c>
      <x:c r="U13" s="26" t="str">
        <x:v>https://www.totalvedacoes.com.br/</x:v>
      </x:c>
    </x:row>
    <x:row r="14">
      <x:c r="A14" s="2" t="n">
        <x:v>13</x:v>
      </x:c>
      <x:c r="B14" s="3" t="inlineStr">
        <x:is>
          <x:t xml:space="preserve">Hipress Componentes Hidráulicos</x:t>
        </x:is>
      </x:c>
      <x:c r="C14" s="3" t="inlineStr">
        <x:is>
          <x:t xml:space="preserve">Distribuidor Parker</x:t>
        </x:is>
      </x:c>
      <x:c r="D14" s="3" t="inlineStr">
        <x:is>
          <x:t xml:space="preserve">Belo Horizonte</x:t>
        </x:is>
      </x:c>
      <x:c r="E14" s="2" t="inlineStr">
        <x:is>
          <x:t xml:space="preserve">MG</x:t>
        </x:is>
      </x:c>
      <x:c r="F14" s="2" t="inlineStr">
        <x:is>
          <x:t xml:space="preserve">Sudeste</x:t>
        </x:is>
      </x:c>
      <x:c r="G14" s="3" t="inlineStr">
        <x:is>
          <x:t xml:space="preserve"/>
        </x:is>
      </x:c>
      <x:c r="H14" s="3" t="inlineStr">
        <x:is>
          <x:t xml:space="preserve">Maior loja de hidráulicos de MG</x:t>
        </x:is>
      </x:c>
      <x:c r="I14" s="4" t="n"/>
      <x:c r="J14" s="2" t="n"/>
      <x:c r="K14" s="2" t="str">
        <x:f>IF(OR(I14="",J14=""),"",IFERROR(ROUND(I14*LN(J14+1),1),""))</x:f>
      </x:c>
      <x:c r="L14" s="2" t="str">
        <x:f>IF(K14="","Sem dados - qualificar",IF(K14&gt;=15,"A - Alta",IF(K14&gt;=8,"B - Média","C - Baixa")))</x:f>
        <x:v>Sem dados - qualificar</x:v>
      </x:c>
      <x:c r="M14" s="2" t="inlineStr">
        <x:is>
          <x:t xml:space="preserve">Não contatado</x:t>
        </x:is>
      </x:c>
      <x:c r="N14" s="3" t="inlineStr">
        <x:is>
          <x:t xml:space="preserve"/>
        </x:is>
      </x:c>
      <x:c r="O14" s="3" t="inlineStr">
        <x:is>
          <x:t xml:space="preserve"/>
        </x:is>
      </x:c>
      <x:c r="P14" s="26" t="str">
        <x:v>vendas@hipress.com.br</x:v>
      </x:c>
      <x:c r="Q14" s="3" t="inlineStr">
        <x:is>
          <x:t xml:space="preserve"/>
        </x:is>
      </x:c>
      <x:c r="R14" s="5" t="n"/>
      <x:c r="S14" s="3" t="inlineStr">
        <x:is>
          <x:t xml:space="preserve"/>
        </x:is>
      </x:c>
      <x:c r="T14" s="3" t="inlineStr">
        <x:is>
          <x:t xml:space="preserve"/>
        </x:is>
      </x:c>
      <x:c r="U14" s="26" t="str">
        <x:v>https://www.hipress.com.br/contato/</x:v>
      </x:c>
    </x:row>
    <x:row r="15">
      <x:c r="A15" s="2" t="n">
        <x:v>14</x:v>
      </x:c>
      <x:c r="B15" s="3" t="inlineStr">
        <x:is>
          <x:t xml:space="preserve">Loja das Vedações</x:t>
        </x:is>
      </x:c>
      <x:c r="C15" s="3" t="inlineStr">
        <x:is>
          <x:t xml:space="preserve">Vedações</x:t>
        </x:is>
      </x:c>
      <x:c r="D15" s="3" t="inlineStr">
        <x:is>
          <x:t xml:space="preserve">Belo Horizonte</x:t>
        </x:is>
      </x:c>
      <x:c r="E15" s="2" t="inlineStr">
        <x:is>
          <x:t xml:space="preserve">MG</x:t>
        </x:is>
      </x:c>
      <x:c r="F15" s="2" t="inlineStr">
        <x:is>
          <x:t xml:space="preserve">Sudeste</x:t>
        </x:is>
      </x:c>
      <x:c r="G15" s="3" t="inlineStr">
        <x:is>
          <x:t xml:space="preserve">+55 31 3243-1523</x:t>
        </x:is>
      </x:c>
      <x:c r="H15" s="3" t="inlineStr">
        <x:is>
          <x:t xml:space="preserve">Rua dos Tupis, 1265 - Barro Preto</x:t>
        </x:is>
      </x:c>
      <x:c r="I15" s="4" t="n">
        <x:v>5</x:v>
      </x:c>
      <x:c r="J15" s="2" t="n">
        <x:v>84</x:v>
      </x:c>
      <x:c r="K15" s="2" t="n">
        <x:f>IF(OR(I15="",J15=""),"",IFERROR(ROUND(I15*LN(J15+1),1),""))</x:f>
        <x:v>22.2</x:v>
      </x:c>
      <x:c r="L15" s="2" t="str">
        <x:f>IF(K15="","Sem dados - qualificar",IF(K15&gt;=15,"A - Alta",IF(K15&gt;=8,"B - Média","C - Baixa")))</x:f>
        <x:v>A - Alta</x:v>
      </x:c>
      <x:c r="M15" s="2" t="inlineStr">
        <x:is>
          <x:t xml:space="preserve">Não contatado</x:t>
        </x:is>
      </x:c>
      <x:c r="N15" s="3" t="inlineStr">
        <x:is>
          <x:t xml:space="preserve"/>
        </x:is>
      </x:c>
      <x:c r="O15" s="3" t="inlineStr">
        <x:is>
          <x:t xml:space="preserve"/>
        </x:is>
      </x:c>
      <x:c r="P15" s="26" t="str">
        <x:v>lojadasvedacoes@lojadasvedacoes.com.br</x:v>
      </x:c>
      <x:c r="Q15" s="3" t="inlineStr">
        <x:is>
          <x:t xml:space="preserve"/>
        </x:is>
      </x:c>
      <x:c r="R15" s="5" t="n"/>
      <x:c r="S15" s="3" t="inlineStr">
        <x:is>
          <x:t xml:space="preserve"/>
        </x:is>
      </x:c>
      <x:c r="T15" s="3" t="inlineStr">
        <x:is>
          <x:t xml:space="preserve"/>
        </x:is>
      </x:c>
      <x:c r="U15" s="26" t="str">
        <x:v>https://lojadasvedacoes.com.br/contato/</x:v>
      </x:c>
    </x:row>
    <x:row r="16">
      <x:c r="A16" s="2" t="n">
        <x:v>15</x:v>
      </x:c>
      <x:c r="B16" s="3" t="inlineStr">
        <x:is>
          <x:t xml:space="preserve">MG Vedações e Borrachas</x:t>
        </x:is>
      </x:c>
      <x:c r="C16" s="3" t="inlineStr">
        <x:is>
          <x:t xml:space="preserve">Vedações</x:t>
        </x:is>
      </x:c>
      <x:c r="D16" s="3" t="inlineStr">
        <x:is>
          <x:t xml:space="preserve">Belo Horizonte</x:t>
        </x:is>
      </x:c>
      <x:c r="E16" s="2" t="inlineStr">
        <x:is>
          <x:t xml:space="preserve">MG</x:t>
        </x:is>
      </x:c>
      <x:c r="F16" s="2" t="inlineStr">
        <x:is>
          <x:t xml:space="preserve">Sudeste</x:t>
        </x:is>
      </x:c>
      <x:c r="G16" s="3" t="inlineStr">
        <x:is>
          <x:t xml:space="preserve">+55 31 3333-0173</x:t>
        </x:is>
      </x:c>
      <x:c r="H16" s="3" t="inlineStr">
        <x:is>
          <x:t xml:space="preserve">R. Pres. Costa e Silva, 632 - Barreiro</x:t>
        </x:is>
      </x:c>
      <x:c r="I16" s="4" t="n">
        <x:v>3.9</x:v>
      </x:c>
      <x:c r="J16" s="2" t="n">
        <x:v>62</x:v>
      </x:c>
      <x:c r="K16" s="2" t="n">
        <x:f>IF(OR(I16="",J16=""),"",IFERROR(ROUND(I16*LN(J16+1),1),""))</x:f>
        <x:v>16.2</x:v>
      </x:c>
      <x:c r="L16" s="2" t="str">
        <x:f>IF(K16="","Sem dados - qualificar",IF(K16&gt;=15,"A - Alta",IF(K16&gt;=8,"B - Média","C - Baixa")))</x:f>
        <x:v>A - Alta</x:v>
      </x:c>
      <x:c r="M16" s="2" t="inlineStr">
        <x:is>
          <x:t xml:space="preserve">Não contatado</x:t>
        </x:is>
      </x:c>
      <x:c r="N16" s="3" t="inlineStr">
        <x:is>
          <x:t xml:space="preserve"/>
        </x:is>
      </x:c>
      <x:c r="O16" s="3" t="inlineStr">
        <x:is>
          <x:t xml:space="preserve"/>
        </x:is>
      </x:c>
      <x:c r="P16" s="26" t="str"/>
      <x:c r="Q16" s="3" t="inlineStr">
        <x:is>
          <x:t xml:space="preserve"/>
        </x:is>
      </x:c>
      <x:c r="R16" s="5" t="n"/>
      <x:c r="S16" s="3" t="inlineStr">
        <x:is>
          <x:t xml:space="preserve"/>
        </x:is>
      </x:c>
      <x:c r="T16" s="3" t="inlineStr">
        <x:is>
          <x:t xml:space="preserve"/>
        </x:is>
      </x:c>
      <x:c r="U16" s="26" t="str">
        <x:v>Não localizado em fonte pública confiável até 24/07/2026</x:v>
      </x:c>
    </x:row>
    <x:row r="17">
      <x:c r="A17" s="2" t="n">
        <x:v>16</x:v>
      </x:c>
      <x:c r="B17" s="3" t="inlineStr">
        <x:is>
          <x:t xml:space="preserve">Sealminas Indústria e Comércio de Vedações</x:t>
        </x:is>
      </x:c>
      <x:c r="C17" s="3" t="inlineStr">
        <x:is>
          <x:t xml:space="preserve">Fabricante/Vedações</x:t>
        </x:is>
      </x:c>
      <x:c r="D17" s="3" t="inlineStr">
        <x:is>
          <x:t xml:space="preserve">Belo Horizonte</x:t>
        </x:is>
      </x:c>
      <x:c r="E17" s="2" t="inlineStr">
        <x:is>
          <x:t xml:space="preserve">MG</x:t>
        </x:is>
      </x:c>
      <x:c r="F17" s="2" t="inlineStr">
        <x:is>
          <x:t xml:space="preserve">Sudeste</x:t>
        </x:is>
      </x:c>
      <x:c r="G17" s="3" t="inlineStr">
        <x:is>
          <x:t xml:space="preserve"/>
        </x:is>
      </x:c>
      <x:c r="H17" s="3" t="inlineStr">
        <x:is>
          <x:t xml:space="preserve">Rua Maria Lucinda, 187 - João Pinheiro</x:t>
        </x:is>
      </x:c>
      <x:c r="I17" s="4" t="n"/>
      <x:c r="J17" s="2" t="n"/>
      <x:c r="K17" s="2" t="str">
        <x:f>IF(OR(I17="",J17=""),"",IFERROR(ROUND(I17*LN(J17+1),1),""))</x:f>
      </x:c>
      <x:c r="L17" s="2" t="str">
        <x:f>IF(K17="","Sem dados - qualificar",IF(K17&gt;=15,"A - Alta",IF(K17&gt;=8,"B - Média","C - Baixa")))</x:f>
        <x:v>Sem dados - qualificar</x:v>
      </x:c>
      <x:c r="M17" s="2" t="inlineStr">
        <x:is>
          <x:t xml:space="preserve">Não contatado</x:t>
        </x:is>
      </x:c>
      <x:c r="N17" s="3" t="inlineStr">
        <x:is>
          <x:t xml:space="preserve"/>
        </x:is>
      </x:c>
      <x:c r="O17" s="3" t="inlineStr">
        <x:is>
          <x:t xml:space="preserve"/>
        </x:is>
      </x:c>
      <x:c r="P17" s="26" t="str">
        <x:v>sealminas@sealminas.com.br</x:v>
      </x:c>
      <x:c r="Q17" s="3" t="inlineStr">
        <x:is>
          <x:t xml:space="preserve"/>
        </x:is>
      </x:c>
      <x:c r="R17" s="5" t="n"/>
      <x:c r="S17" s="3" t="inlineStr">
        <x:is>
          <x:t xml:space="preserve"/>
        </x:is>
      </x:c>
      <x:c r="T17" s="3" t="inlineStr">
        <x:is>
          <x:t xml:space="preserve"/>
        </x:is>
      </x:c>
      <x:c r="U17" s="26" t="str">
        <x:v>https://www.skf.com/binaries/pub330/Images/Distribuidores-Autorizados-IM-SKF-01-22_tcm_330-565060.pdf</x:v>
      </x:c>
    </x:row>
    <x:row r="18">
      <x:c r="A18" s="2" t="n">
        <x:v>17</x:v>
      </x:c>
      <x:c r="B18" s="3" t="inlineStr">
        <x:is>
          <x:t xml:space="preserve">Total Vedações</x:t>
        </x:is>
      </x:c>
      <x:c r="C18" s="3" t="inlineStr">
        <x:is>
          <x:t xml:space="preserve">Distribuidor Sabó</x:t>
        </x:is>
      </x:c>
      <x:c r="D18" s="3" t="inlineStr">
        <x:is>
          <x:t xml:space="preserve">Belo Horizonte</x:t>
        </x:is>
      </x:c>
      <x:c r="E18" s="2" t="inlineStr">
        <x:is>
          <x:t xml:space="preserve">MG</x:t>
        </x:is>
      </x:c>
      <x:c r="F18" s="2" t="inlineStr">
        <x:is>
          <x:t xml:space="preserve">Sudeste</x:t>
        </x:is>
      </x:c>
      <x:c r="G18" s="3" t="inlineStr">
        <x:is>
          <x:t xml:space="preserve">+55 31 3296-3894</x:t>
        </x:is>
      </x:c>
      <x:c r="H18" s="3" t="inlineStr">
        <x:is>
          <x:t xml:space="preserve">Rua dos Tupis, 1642 - Barro Preto</x:t>
        </x:is>
      </x:c>
      <x:c r="I18" s="4" t="n">
        <x:v>4.8</x:v>
      </x:c>
      <x:c r="J18" s="2" t="n">
        <x:v>29</x:v>
      </x:c>
      <x:c r="K18" s="2" t="n">
        <x:f>IF(OR(I18="",J18=""),"",IFERROR(ROUND(I18*LN(J18+1),1),""))</x:f>
        <x:v>16.3</x:v>
      </x:c>
      <x:c r="L18" s="2" t="str">
        <x:f>IF(K18="","Sem dados - qualificar",IF(K18&gt;=15,"A - Alta",IF(K18&gt;=8,"B - Média","C - Baixa")))</x:f>
        <x:v>A - Alta</x:v>
      </x:c>
      <x:c r="M18" s="2" t="inlineStr">
        <x:is>
          <x:t xml:space="preserve">Não contatado</x:t>
        </x:is>
      </x:c>
      <x:c r="N18" s="3" t="inlineStr">
        <x:is>
          <x:t xml:space="preserve"/>
        </x:is>
      </x:c>
      <x:c r="O18" s="3" t="inlineStr">
        <x:is>
          <x:t xml:space="preserve"/>
        </x:is>
      </x:c>
      <x:c r="P18" s="26" t="str">
        <x:v>vendas@totalvedacoes.com.br</x:v>
      </x:c>
      <x:c r="Q18" s="3" t="inlineStr">
        <x:is>
          <x:t xml:space="preserve"/>
        </x:is>
      </x:c>
      <x:c r="R18" s="5" t="n"/>
      <x:c r="S18" s="3" t="inlineStr">
        <x:is>
          <x:t xml:space="preserve"/>
        </x:is>
      </x:c>
      <x:c r="T18" s="3" t="inlineStr">
        <x:is>
          <x:t xml:space="preserve"/>
        </x:is>
      </x:c>
      <x:c r="U18" s="26" t="str">
        <x:v>https://www.totalvedacoes.com.br/</x:v>
      </x:c>
    </x:row>
    <x:row r="19">
      <x:c r="A19" s="2" t="n">
        <x:v>18</x:v>
      </x:c>
      <x:c r="B19" s="3" t="inlineStr">
        <x:is>
          <x:t xml:space="preserve">Universo Vedações</x:t>
        </x:is>
      </x:c>
      <x:c r="C19" s="3" t="inlineStr">
        <x:is>
          <x:t xml:space="preserve">Vedações</x:t>
        </x:is>
      </x:c>
      <x:c r="D19" s="3" t="inlineStr">
        <x:is>
          <x:t xml:space="preserve">Belo Horizonte</x:t>
        </x:is>
      </x:c>
      <x:c r="E19" s="2" t="inlineStr">
        <x:is>
          <x:t xml:space="preserve">MG</x:t>
        </x:is>
      </x:c>
      <x:c r="F19" s="2" t="inlineStr">
        <x:is>
          <x:t xml:space="preserve">Sudeste</x:t>
        </x:is>
      </x:c>
      <x:c r="G19" s="3" t="inlineStr">
        <x:is>
          <x:t xml:space="preserve">+55 31 2523-0413</x:t>
        </x:is>
      </x:c>
      <x:c r="H19" s="3" t="inlineStr">
        <x:is>
          <x:t xml:space="preserve">Rua dos Tupis, 1571 B - Barro Preto</x:t>
        </x:is>
      </x:c>
      <x:c r="I19" s="4" t="n">
        <x:v>5</x:v>
      </x:c>
      <x:c r="J19" s="2" t="n">
        <x:v>69</x:v>
      </x:c>
      <x:c r="K19" s="2" t="n">
        <x:f>IF(OR(I19="",J19=""),"",IFERROR(ROUND(I19*LN(J19+1),1),""))</x:f>
        <x:v>21.2</x:v>
      </x:c>
      <x:c r="L19" s="2" t="str">
        <x:f>IF(K19="","Sem dados - qualificar",IF(K19&gt;=15,"A - Alta",IF(K19&gt;=8,"B - Média","C - Baixa")))</x:f>
        <x:v>A - Alta</x:v>
      </x:c>
      <x:c r="M19" s="2" t="inlineStr">
        <x:is>
          <x:t xml:space="preserve">Não contatado</x:t>
        </x:is>
      </x:c>
      <x:c r="N19" s="3" t="inlineStr">
        <x:is>
          <x:t xml:space="preserve"/>
        </x:is>
      </x:c>
      <x:c r="O19" s="3" t="inlineStr">
        <x:is>
          <x:t xml:space="preserve"/>
        </x:is>
      </x:c>
      <x:c r="P19" s="26" t="str"/>
      <x:c r="Q19" s="3" t="inlineStr">
        <x:is>
          <x:t xml:space="preserve"/>
        </x:is>
      </x:c>
      <x:c r="R19" s="5" t="n"/>
      <x:c r="S19" s="3" t="inlineStr">
        <x:is>
          <x:t xml:space="preserve"/>
        </x:is>
      </x:c>
      <x:c r="T19" s="3" t="inlineStr">
        <x:is>
          <x:t xml:space="preserve"/>
        </x:is>
      </x:c>
      <x:c r="U19" s="26" t="str">
        <x:v>Não localizado em fonte pública confiável até 24/07/2026</x:v>
      </x:c>
    </x:row>
    <x:row r="20">
      <x:c r="A20" s="2" t="n">
        <x:v>19</x:v>
      </x:c>
      <x:c r="B20" s="3" t="inlineStr">
        <x:is>
          <x:t xml:space="preserve">Vedações Rio Branco</x:t>
        </x:is>
      </x:c>
      <x:c r="C20" s="3" t="inlineStr">
        <x:is>
          <x:t xml:space="preserve">Vedações</x:t>
        </x:is>
      </x:c>
      <x:c r="D20" s="3" t="inlineStr">
        <x:is>
          <x:t xml:space="preserve">Belo Horizonte</x:t>
        </x:is>
      </x:c>
      <x:c r="E20" s="2" t="inlineStr">
        <x:is>
          <x:t xml:space="preserve">MG</x:t>
        </x:is>
      </x:c>
      <x:c r="F20" s="2" t="inlineStr">
        <x:is>
          <x:t xml:space="preserve">Sudeste</x:t>
        </x:is>
      </x:c>
      <x:c r="G20" s="3" t="inlineStr">
        <x:is>
          <x:t xml:space="preserve">+55 31 3424-2053</x:t>
        </x:is>
      </x:c>
      <x:c r="H20" s="3" t="inlineStr">
        <x:is>
          <x:t xml:space="preserve">R. Santa Cruz, 260 - Venda Nova</x:t>
        </x:is>
      </x:c>
      <x:c r="I20" s="4" t="n">
        <x:v>5</x:v>
      </x:c>
      <x:c r="J20" s="2" t="n">
        <x:v>5</x:v>
      </x:c>
      <x:c r="K20" s="2" t="n">
        <x:f>IF(OR(I20="",J20=""),"",IFERROR(ROUND(I20*LN(J20+1),1),""))</x:f>
        <x:v>9</x:v>
      </x:c>
      <x:c r="L20" s="2" t="str">
        <x:f>IF(K20="","Sem dados - qualificar",IF(K20&gt;=15,"A - Alta",IF(K20&gt;=8,"B - Média","C - Baixa")))</x:f>
        <x:v>B - Média</x:v>
      </x:c>
      <x:c r="M20" s="2" t="inlineStr">
        <x:is>
          <x:t xml:space="preserve">Não contatado</x:t>
        </x:is>
      </x:c>
      <x:c r="N20" s="3" t="inlineStr">
        <x:is>
          <x:t xml:space="preserve"/>
        </x:is>
      </x:c>
      <x:c r="O20" s="3" t="inlineStr">
        <x:is>
          <x:t xml:space="preserve"/>
        </x:is>
      </x:c>
      <x:c r="P20" s="26" t="str">
        <x:v>contato@vedacoesriobranco.com.br</x:v>
      </x:c>
      <x:c r="Q20" s="3" t="inlineStr">
        <x:is>
          <x:t xml:space="preserve"/>
        </x:is>
      </x:c>
      <x:c r="R20" s="5" t="n"/>
      <x:c r="S20" s="3" t="inlineStr">
        <x:is>
          <x:t xml:space="preserve"/>
        </x:is>
      </x:c>
      <x:c r="T20" s="3" t="inlineStr">
        <x:is>
          <x:t xml:space="preserve"/>
        </x:is>
      </x:c>
      <x:c r="U20" s="26" t="str">
        <x:v>https://www.vedacoesriobranco.com.br/</x:v>
      </x:c>
    </x:row>
    <x:row r="21">
      <x:c r="A21" s="2" t="n">
        <x:v>20</x:v>
      </x:c>
      <x:c r="B21" s="3" t="inlineStr">
        <x:is>
          <x:t xml:space="preserve">Via Vedações Industriais e Acessórios</x:t>
        </x:is>
      </x:c>
      <x:c r="C21" s="3" t="inlineStr">
        <x:is>
          <x:t xml:space="preserve">Vedações</x:t>
        </x:is>
      </x:c>
      <x:c r="D21" s="3" t="inlineStr">
        <x:is>
          <x:t xml:space="preserve">Belo Horizonte</x:t>
        </x:is>
      </x:c>
      <x:c r="E21" s="2" t="inlineStr">
        <x:is>
          <x:t xml:space="preserve">MG</x:t>
        </x:is>
      </x:c>
      <x:c r="F21" s="2" t="inlineStr">
        <x:is>
          <x:t xml:space="preserve">Sudeste</x:t>
        </x:is>
      </x:c>
      <x:c r="G21" s="3" t="inlineStr">
        <x:is>
          <x:t xml:space="preserve"/>
        </x:is>
      </x:c>
      <x:c r="H21" s="3" t="inlineStr">
        <x:is>
          <x:t xml:space="preserve">R. Edson Tomás Santos</x:t>
        </x:is>
      </x:c>
      <x:c r="I21" s="4" t="n"/>
      <x:c r="J21" s="2" t="n"/>
      <x:c r="K21" s="2" t="str">
        <x:f>IF(OR(I21="",J21=""),"",IFERROR(ROUND(I21*LN(J21+1),1),""))</x:f>
      </x:c>
      <x:c r="L21" s="2" t="str">
        <x:f>IF(K21="","Sem dados - qualificar",IF(K21&gt;=15,"A - Alta",IF(K21&gt;=8,"B - Média","C - Baixa")))</x:f>
        <x:v>Sem dados - qualificar</x:v>
      </x:c>
      <x:c r="M21" s="2" t="inlineStr">
        <x:is>
          <x:t xml:space="preserve">Não contatado</x:t>
        </x:is>
      </x:c>
      <x:c r="N21" s="3" t="inlineStr">
        <x:is>
          <x:t xml:space="preserve"/>
        </x:is>
      </x:c>
      <x:c r="O21" s="3" t="inlineStr">
        <x:is>
          <x:t xml:space="preserve"/>
        </x:is>
      </x:c>
      <x:c r="P21" s="26" t="str"/>
      <x:c r="Q21" s="3" t="inlineStr">
        <x:is>
          <x:t xml:space="preserve"/>
        </x:is>
      </x:c>
      <x:c r="R21" s="5" t="n"/>
      <x:c r="S21" s="3" t="inlineStr">
        <x:is>
          <x:t xml:space="preserve"/>
        </x:is>
      </x:c>
      <x:c r="T21" s="3" t="inlineStr">
        <x:is>
          <x:t xml:space="preserve"/>
        </x:is>
      </x:c>
      <x:c r="U21" s="26" t="str">
        <x:v>Não localizado em fonte pública confiável até 24/07/2026</x:v>
      </x:c>
    </x:row>
    <x:row r="22">
      <x:c r="A22" s="2" t="n">
        <x:v>21</x:v>
      </x:c>
      <x:c r="B22" s="3" t="inlineStr">
        <x:is>
          <x:t xml:space="preserve">RS Vedações</x:t>
        </x:is>
      </x:c>
      <x:c r="C22" s="3" t="inlineStr">
        <x:is>
          <x:t xml:space="preserve">Fabricante/Vedações</x:t>
        </x:is>
      </x:c>
      <x:c r="D22" s="3" t="inlineStr">
        <x:is>
          <x:t xml:space="preserve">Betim</x:t>
        </x:is>
      </x:c>
      <x:c r="E22" s="2" t="inlineStr">
        <x:is>
          <x:t xml:space="preserve">MG</x:t>
        </x:is>
      </x:c>
      <x:c r="F22" s="2" t="inlineStr">
        <x:is>
          <x:t xml:space="preserve">Sudeste</x:t>
        </x:is>
      </x:c>
      <x:c r="G22" s="3" t="inlineStr">
        <x:is>
          <x:t xml:space="preserve">+55 31 3531-7737</x:t>
        </x:is>
      </x:c>
      <x:c r="H22" s="3" t="inlineStr">
        <x:is>
          <x:t xml:space="preserve">Av. Gafanhoto, 54 - Brasiléia</x:t>
        </x:is>
      </x:c>
      <x:c r="I22" s="4" t="n">
        <x:v>4.9</x:v>
      </x:c>
      <x:c r="J22" s="2" t="n">
        <x:v>28</x:v>
      </x:c>
      <x:c r="K22" s="2" t="n">
        <x:f>IF(OR(I22="",J22=""),"",IFERROR(ROUND(I22*LN(J22+1),1),""))</x:f>
        <x:v>16.5</x:v>
      </x:c>
      <x:c r="L22" s="2" t="str">
        <x:f>IF(K22="","Sem dados - qualificar",IF(K22&gt;=15,"A - Alta",IF(K22&gt;=8,"B - Média","C - Baixa")))</x:f>
        <x:v>A - Alta</x:v>
      </x:c>
      <x:c r="M22" s="2" t="inlineStr">
        <x:is>
          <x:t xml:space="preserve">Não contatado</x:t>
        </x:is>
      </x:c>
      <x:c r="N22" s="3" t="inlineStr">
        <x:is>
          <x:t xml:space="preserve"/>
        </x:is>
      </x:c>
      <x:c r="O22" s="3" t="inlineStr">
        <x:is>
          <x:t xml:space="preserve"/>
        </x:is>
      </x:c>
      <x:c r="P22" s="26" t="str"/>
      <x:c r="Q22" s="3" t="inlineStr">
        <x:is>
          <x:t xml:space="preserve"/>
        </x:is>
      </x:c>
      <x:c r="R22" s="5" t="n"/>
      <x:c r="S22" s="3" t="inlineStr">
        <x:is>
          <x:t xml:space="preserve"/>
        </x:is>
      </x:c>
      <x:c r="T22" s="3" t="inlineStr">
        <x:is>
          <x:t xml:space="preserve"/>
        </x:is>
      </x:c>
      <x:c r="U22" s="26" t="str">
        <x:v>Não localizado em fonte pública confiável até 24/07/2026</x:v>
      </x:c>
    </x:row>
    <x:row r="23">
      <x:c r="A23" s="2" t="n">
        <x:v>22</x:v>
      </x:c>
      <x:c r="B23" s="3" t="inlineStr">
        <x:is>
          <x:t xml:space="preserve">Vedam Vedações</x:t>
        </x:is>
      </x:c>
      <x:c r="C23" s="3" t="inlineStr">
        <x:is>
          <x:t xml:space="preserve">Vedações</x:t>
        </x:is>
      </x:c>
      <x:c r="D23" s="3" t="inlineStr">
        <x:is>
          <x:t xml:space="preserve">Betim</x:t>
        </x:is>
      </x:c>
      <x:c r="E23" s="2" t="inlineStr">
        <x:is>
          <x:t xml:space="preserve">MG</x:t>
        </x:is>
      </x:c>
      <x:c r="F23" s="2" t="inlineStr">
        <x:is>
          <x:t xml:space="preserve">Sudeste</x:t>
        </x:is>
      </x:c>
      <x:c r="G23" s="3" t="inlineStr">
        <x:is>
          <x:t xml:space="preserve">+55 31 99697-5341</x:t>
        </x:is>
      </x:c>
      <x:c r="H23" s="3" t="inlineStr">
        <x:is>
          <x:t xml:space="preserve">Av. Arthur Trindade, 326 - Niterói</x:t>
        </x:is>
      </x:c>
      <x:c r="I23" s="4" t="n">
        <x:v>4.9</x:v>
      </x:c>
      <x:c r="J23" s="2" t="n">
        <x:v>8</x:v>
      </x:c>
      <x:c r="K23" s="2" t="n">
        <x:f>IF(OR(I23="",J23=""),"",IFERROR(ROUND(I23*LN(J23+1),1),""))</x:f>
        <x:v>10.8</x:v>
      </x:c>
      <x:c r="L23" s="2" t="str">
        <x:f>IF(K23="","Sem dados - qualificar",IF(K23&gt;=15,"A - Alta",IF(K23&gt;=8,"B - Média","C - Baixa")))</x:f>
        <x:v>B - Média</x:v>
      </x:c>
      <x:c r="M23" s="2" t="inlineStr">
        <x:is>
          <x:t xml:space="preserve">Não contatado</x:t>
        </x:is>
      </x:c>
      <x:c r="N23" s="3" t="inlineStr">
        <x:is>
          <x:t xml:space="preserve"/>
        </x:is>
      </x:c>
      <x:c r="O23" s="3" t="inlineStr">
        <x:is>
          <x:t xml:space="preserve"/>
        </x:is>
      </x:c>
      <x:c r="P23" s="26" t="str"/>
      <x:c r="Q23" s="3" t="inlineStr">
        <x:is>
          <x:t xml:space="preserve"/>
        </x:is>
      </x:c>
      <x:c r="R23" s="5" t="n"/>
      <x:c r="S23" s="3" t="inlineStr">
        <x:is>
          <x:t xml:space="preserve"/>
        </x:is>
      </x:c>
      <x:c r="T23" s="3" t="inlineStr">
        <x:is>
          <x:t xml:space="preserve"/>
        </x:is>
      </x:c>
      <x:c r="U23" s="26" t="str">
        <x:v>Não localizado em fonte pública confiável até 24/07/2026</x:v>
      </x:c>
    </x:row>
    <x:row r="24">
      <x:c r="A24" s="2" t="n">
        <x:v>23</x:v>
      </x:c>
      <x:c r="B24" s="3" t="inlineStr">
        <x:is>
          <x:t xml:space="preserve">Vedaminas BH</x:t>
        </x:is>
      </x:c>
      <x:c r="C24" s="3" t="inlineStr">
        <x:is>
          <x:t xml:space="preserve">Distribuidora</x:t>
        </x:is>
      </x:c>
      <x:c r="D24" s="3" t="inlineStr">
        <x:is>
          <x:t xml:space="preserve">Contagem</x:t>
        </x:is>
      </x:c>
      <x:c r="E24" s="2" t="inlineStr">
        <x:is>
          <x:t xml:space="preserve">MG</x:t>
        </x:is>
      </x:c>
      <x:c r="F24" s="2" t="inlineStr">
        <x:is>
          <x:t xml:space="preserve">Sudeste</x:t>
        </x:is>
      </x:c>
      <x:c r="G24" s="3" t="inlineStr">
        <x:is>
          <x:t xml:space="preserve">+55 31 3370-7655</x:t>
        </x:is>
      </x:c>
      <x:c r="H24" s="3" t="inlineStr">
        <x:is>
          <x:t xml:space="preserve">R. Rio Paraopeba, 1420 - Riacho das Pedras</x:t>
        </x:is>
      </x:c>
      <x:c r="I24" s="4" t="n">
        <x:v>4.8</x:v>
      </x:c>
      <x:c r="J24" s="2" t="n">
        <x:v>33</x:v>
      </x:c>
      <x:c r="K24" s="2" t="n">
        <x:f>IF(OR(I24="",J24=""),"",IFERROR(ROUND(I24*LN(J24+1),1),""))</x:f>
        <x:v>16.9</x:v>
      </x:c>
      <x:c r="L24" s="2" t="str">
        <x:f>IF(K24="","Sem dados - qualificar",IF(K24&gt;=15,"A - Alta",IF(K24&gt;=8,"B - Média","C - Baixa")))</x:f>
        <x:v>A - Alta</x:v>
      </x:c>
      <x:c r="M24" s="2" t="inlineStr">
        <x:is>
          <x:t xml:space="preserve">Não contatado</x:t>
        </x:is>
      </x:c>
      <x:c r="N24" s="3" t="inlineStr">
        <x:is>
          <x:t xml:space="preserve"/>
        </x:is>
      </x:c>
      <x:c r="O24" s="3" t="inlineStr">
        <x:is>
          <x:t xml:space="preserve"/>
        </x:is>
      </x:c>
      <x:c r="P24" s="26" t="str">
        <x:v>comercial@vedaminasbh.com</x:v>
      </x:c>
      <x:c r="Q24" s="3" t="inlineStr">
        <x:is>
          <x:t xml:space="preserve"/>
        </x:is>
      </x:c>
      <x:c r="R24" s="5" t="n"/>
      <x:c r="S24" s="3" t="inlineStr">
        <x:is>
          <x:t xml:space="preserve"/>
        </x:is>
      </x:c>
      <x:c r="T24" s="3" t="inlineStr">
        <x:is>
          <x:t xml:space="preserve"/>
        </x:is>
      </x:c>
      <x:c r="U24" s="26" t="str">
        <x:v>https://vedaminasbh.com.br/</x:v>
      </x:c>
    </x:row>
    <x:row r="25">
      <x:c r="A25" s="2" t="n">
        <x:v>24</x:v>
      </x:c>
      <x:c r="B25" s="3" t="inlineStr">
        <x:is>
          <x:t xml:space="preserve">Mundial Vedações Hidráulicas</x:t>
        </x:is>
      </x:c>
      <x:c r="C25" s="3" t="inlineStr">
        <x:is>
          <x:t xml:space="preserve">Hidráulica/Vedações</x:t>
        </x:is>
      </x:c>
      <x:c r="D25" s="3" t="inlineStr">
        <x:is>
          <x:t xml:space="preserve">Divinópolis</x:t>
        </x:is>
      </x:c>
      <x:c r="E25" s="2" t="inlineStr">
        <x:is>
          <x:t xml:space="preserve">MG</x:t>
        </x:is>
      </x:c>
      <x:c r="F25" s="2" t="inlineStr">
        <x:is>
          <x:t xml:space="preserve">Sudeste</x:t>
        </x:is>
      </x:c>
      <x:c r="G25" s="3" t="inlineStr">
        <x:is>
          <x:t xml:space="preserve">+55 37 99779-1061</x:t>
        </x:is>
      </x:c>
      <x:c r="H25" s="3" t="inlineStr">
        <x:is>
          <x:t xml:space="preserve">R. Pernambuco, 2814 - Ipiranga</x:t>
        </x:is>
      </x:c>
      <x:c r="I25" s="4" t="n">
        <x:v>4.9</x:v>
      </x:c>
      <x:c r="J25" s="2" t="n">
        <x:v>8</x:v>
      </x:c>
      <x:c r="K25" s="2" t="n">
        <x:f>IF(OR(I25="",J25=""),"",IFERROR(ROUND(I25*LN(J25+1),1),""))</x:f>
        <x:v>10.8</x:v>
      </x:c>
      <x:c r="L25" s="2" t="str">
        <x:f>IF(K25="","Sem dados - qualificar",IF(K25&gt;=15,"A - Alta",IF(K25&gt;=8,"B - Média","C - Baixa")))</x:f>
        <x:v>B - Média</x:v>
      </x:c>
      <x:c r="M25" s="2" t="inlineStr">
        <x:is>
          <x:t xml:space="preserve">Não contatado</x:t>
        </x:is>
      </x:c>
      <x:c r="N25" s="3" t="inlineStr">
        <x:is>
          <x:t xml:space="preserve"/>
        </x:is>
      </x:c>
      <x:c r="O25" s="3" t="inlineStr">
        <x:is>
          <x:t xml:space="preserve"/>
        </x:is>
      </x:c>
      <x:c r="P25" s="26" t="str"/>
      <x:c r="Q25" s="3" t="inlineStr">
        <x:is>
          <x:t xml:space="preserve"/>
        </x:is>
      </x:c>
      <x:c r="R25" s="5" t="n"/>
      <x:c r="S25" s="3" t="inlineStr">
        <x:is>
          <x:t xml:space="preserve"/>
        </x:is>
      </x:c>
      <x:c r="T25" s="3" t="inlineStr">
        <x:is>
          <x:t xml:space="preserve"/>
        </x:is>
      </x:c>
      <x:c r="U25" s="26" t="str">
        <x:v>Não localizado em fonte pública confiável até 24/07/2026</x:v>
      </x:c>
    </x:row>
    <x:row r="26">
      <x:c r="A26" s="2" t="n">
        <x:v>25</x:v>
      </x:c>
      <x:c r="B26" s="3" t="inlineStr">
        <x:is>
          <x:t xml:space="preserve">Vedamaq Vedações para Máquinas</x:t>
        </x:is>
      </x:c>
      <x:c r="C26" s="3" t="inlineStr">
        <x:is>
          <x:t xml:space="preserve">Vedações</x:t>
        </x:is>
      </x:c>
      <x:c r="D26" s="3" t="inlineStr">
        <x:is>
          <x:t xml:space="preserve">Uberlândia</x:t>
        </x:is>
      </x:c>
      <x:c r="E26" s="2" t="inlineStr">
        <x:is>
          <x:t xml:space="preserve">MG</x:t>
        </x:is>
      </x:c>
      <x:c r="F26" s="2" t="inlineStr">
        <x:is>
          <x:t xml:space="preserve">Sudeste</x:t>
        </x:is>
      </x:c>
      <x:c r="G26" s="3" t="inlineStr">
        <x:is>
          <x:t xml:space="preserve">+55 34 3210-5200</x:t>
        </x:is>
      </x:c>
      <x:c r="H26" s="3" t="inlineStr">
        <x:is>
          <x:t xml:space="preserve">Av. Vasconcelos Costa, 2191 - Osvaldo Rezende</x:t>
        </x:is>
      </x:c>
      <x:c r="I26" s="4" t="n">
        <x:v>4.8</x:v>
      </x:c>
      <x:c r="J26" s="2" t="n">
        <x:v>17</x:v>
      </x:c>
      <x:c r="K26" s="2" t="n">
        <x:f>IF(OR(I26="",J26=""),"",IFERROR(ROUND(I26*LN(J26+1),1),""))</x:f>
        <x:v>13.9</x:v>
      </x:c>
      <x:c r="L26" s="2" t="str">
        <x:f>IF(K26="","Sem dados - qualificar",IF(K26&gt;=15,"A - Alta",IF(K26&gt;=8,"B - Média","C - Baixa")))</x:f>
        <x:v>B - Média</x:v>
      </x:c>
      <x:c r="M26" s="2" t="inlineStr">
        <x:is>
          <x:t xml:space="preserve">Não contatado</x:t>
        </x:is>
      </x:c>
      <x:c r="N26" s="3" t="inlineStr">
        <x:is>
          <x:t xml:space="preserve"/>
        </x:is>
      </x:c>
      <x:c r="O26" s="3" t="inlineStr">
        <x:is>
          <x:t xml:space="preserve"/>
        </x:is>
      </x:c>
      <x:c r="P26" s="26" t="str"/>
      <x:c r="Q26" s="3" t="inlineStr">
        <x:is>
          <x:t xml:space="preserve"/>
        </x:is>
      </x:c>
      <x:c r="R26" s="5" t="n"/>
      <x:c r="S26" s="3" t="inlineStr">
        <x:is>
          <x:t xml:space="preserve"/>
        </x:is>
      </x:c>
      <x:c r="T26" s="3" t="inlineStr">
        <x:is>
          <x:t xml:space="preserve"/>
        </x:is>
      </x:c>
      <x:c r="U26" s="26" t="str">
        <x:v>Não localizado em fonte pública confiável até 24/07/2026</x:v>
      </x:c>
    </x:row>
    <x:row r="27">
      <x:c r="A27" s="2" t="n">
        <x:v>26</x:v>
      </x:c>
      <x:c r="B27" s="3" t="inlineStr">
        <x:is>
          <x:t xml:space="preserve">Vedamex Soluções em Vedação</x:t>
        </x:is>
      </x:c>
      <x:c r="C27" s="3" t="inlineStr">
        <x:is>
          <x:t xml:space="preserve">Vedações</x:t>
        </x:is>
      </x:c>
      <x:c r="D27" s="3" t="inlineStr">
        <x:is>
          <x:t xml:space="preserve">Uberlândia</x:t>
        </x:is>
      </x:c>
      <x:c r="E27" s="2" t="inlineStr">
        <x:is>
          <x:t xml:space="preserve">MG</x:t>
        </x:is>
      </x:c>
      <x:c r="F27" s="2" t="inlineStr">
        <x:is>
          <x:t xml:space="preserve">Sudeste</x:t>
        </x:is>
      </x:c>
      <x:c r="G27" s="3" t="inlineStr">
        <x:is>
          <x:t xml:space="preserve">+55 34 3235-8080</x:t>
        </x:is>
      </x:c>
      <x:c r="H27" s="3" t="inlineStr">
        <x:is>
          <x:t xml:space="preserve">Av. Vasconcelos Costa, 1230 - Osvaldo Rezende</x:t>
        </x:is>
      </x:c>
      <x:c r="I27" s="4" t="n">
        <x:v>5</x:v>
      </x:c>
      <x:c r="J27" s="2" t="n">
        <x:v>1</x:v>
      </x:c>
      <x:c r="K27" s="2" t="n">
        <x:f>IF(OR(I27="",J27=""),"",IFERROR(ROUND(I27*LN(J27+1),1),""))</x:f>
        <x:v>3.5</x:v>
      </x:c>
      <x:c r="L27" s="2" t="str">
        <x:f>IF(K27="","Sem dados - qualificar",IF(K27&gt;=15,"A - Alta",IF(K27&gt;=8,"B - Média","C - Baixa")))</x:f>
        <x:v>C - Baixa</x:v>
      </x:c>
      <x:c r="M27" s="2" t="inlineStr">
        <x:is>
          <x:t xml:space="preserve">Não contatado</x:t>
        </x:is>
      </x:c>
      <x:c r="N27" s="3" t="inlineStr">
        <x:is>
          <x:t xml:space="preserve"/>
        </x:is>
      </x:c>
      <x:c r="O27" s="3" t="inlineStr">
        <x:is>
          <x:t xml:space="preserve"/>
        </x:is>
      </x:c>
      <x:c r="P27" s="26" t="str"/>
      <x:c r="Q27" s="3" t="inlineStr">
        <x:is>
          <x:t xml:space="preserve"/>
        </x:is>
      </x:c>
      <x:c r="R27" s="5" t="n"/>
      <x:c r="S27" s="3" t="inlineStr">
        <x:is>
          <x:t xml:space="preserve"/>
        </x:is>
      </x:c>
      <x:c r="T27" s="3" t="inlineStr">
        <x:is>
          <x:t xml:space="preserve"/>
        </x:is>
      </x:c>
      <x:c r="U27" s="26" t="str">
        <x:v>Não localizado em fonte pública confiável até 24/07/2026</x:v>
      </x:c>
    </x:row>
    <x:row r="28">
      <x:c r="A28" s="2" t="n">
        <x:v>27</x:v>
      </x:c>
      <x:c r="B28" s="3" t="inlineStr">
        <x:is>
          <x:t xml:space="preserve">Vedamac Comércio de Vedações Industriais</x:t>
        </x:is>
      </x:c>
      <x:c r="C28" s="3" t="inlineStr">
        <x:is>
          <x:t xml:space="preserve">Vedações</x:t>
        </x:is>
      </x:c>
      <x:c r="D28" s="3" t="inlineStr">
        <x:is>
          <x:t xml:space="preserve">Duque de Caxias</x:t>
        </x:is>
      </x:c>
      <x:c r="E28" s="2" t="inlineStr">
        <x:is>
          <x:t xml:space="preserve">RJ</x:t>
        </x:is>
      </x:c>
      <x:c r="F28" s="2" t="inlineStr">
        <x:is>
          <x:t xml:space="preserve">Sudeste</x:t>
        </x:is>
      </x:c>
      <x:c r="G28" s="3" t="inlineStr">
        <x:is>
          <x:t xml:space="preserve">+55 21 2080-5699</x:t>
        </x:is>
      </x:c>
      <x:c r="H28" s="3" t="inlineStr">
        <x:is>
          <x:t xml:space="preserve">Av. Ver. F. C. A. Figueiredo - Santa Lúcia</x:t>
        </x:is>
      </x:c>
      <x:c r="I28" s="4" t="n">
        <x:v>5</x:v>
      </x:c>
      <x:c r="J28" s="2" t="n">
        <x:v>17</x:v>
      </x:c>
      <x:c r="K28" s="2" t="n">
        <x:f>IF(OR(I28="",J28=""),"",IFERROR(ROUND(I28*LN(J28+1),1),""))</x:f>
        <x:v>14.5</x:v>
      </x:c>
      <x:c r="L28" s="2" t="str">
        <x:f>IF(K28="","Sem dados - qualificar",IF(K28&gt;=15,"A - Alta",IF(K28&gt;=8,"B - Média","C - Baixa")))</x:f>
        <x:v>B - Média</x:v>
      </x:c>
      <x:c r="M28" s="2" t="inlineStr">
        <x:is>
          <x:t xml:space="preserve">Não contatado</x:t>
        </x:is>
      </x:c>
      <x:c r="N28" s="3" t="inlineStr">
        <x:is>
          <x:t xml:space="preserve"/>
        </x:is>
      </x:c>
      <x:c r="O28" s="3" t="inlineStr">
        <x:is>
          <x:t xml:space="preserve"/>
        </x:is>
      </x:c>
      <x:c r="P28" s="26" t="str"/>
      <x:c r="Q28" s="3" t="inlineStr">
        <x:is>
          <x:t xml:space="preserve"/>
        </x:is>
      </x:c>
      <x:c r="R28" s="5" t="n"/>
      <x:c r="S28" s="3" t="inlineStr">
        <x:is>
          <x:t xml:space="preserve"/>
        </x:is>
      </x:c>
      <x:c r="T28" s="3" t="inlineStr">
        <x:is>
          <x:t xml:space="preserve"/>
        </x:is>
      </x:c>
      <x:c r="U28" s="26" t="str">
        <x:v>Não localizado em fonte pública confiável até 24/07/2026</x:v>
      </x:c>
    </x:row>
    <x:row r="29">
      <x:c r="A29" s="2" t="n">
        <x:v>28</x:v>
      </x:c>
      <x:c r="B29" s="3" t="inlineStr">
        <x:is>
          <x:t xml:space="preserve">Costa Vedações e Acessórios Hidráulicos</x:t>
        </x:is>
      </x:c>
      <x:c r="C29" s="3" t="inlineStr">
        <x:is>
          <x:t xml:space="preserve">Hidráulica/Vedações</x:t>
        </x:is>
      </x:c>
      <x:c r="D29" s="3" t="inlineStr">
        <x:is>
          <x:t xml:space="preserve">Macaé</x:t>
        </x:is>
      </x:c>
      <x:c r="E29" s="2" t="inlineStr">
        <x:is>
          <x:t xml:space="preserve">RJ</x:t>
        </x:is>
      </x:c>
      <x:c r="F29" s="2" t="inlineStr">
        <x:is>
          <x:t xml:space="preserve">Sudeste</x:t>
        </x:is>
      </x:c>
      <x:c r="G29" s="3" t="inlineStr">
        <x:is>
          <x:t xml:space="preserve">+55 22 2646-1525</x:t>
        </x:is>
      </x:c>
      <x:c r="H29" s="3" t="inlineStr">
        <x:is>
          <x:t xml:space="preserve">R. Maria B. Lima Dias, 449 - Alto dos Cajueiros</x:t>
        </x:is>
      </x:c>
      <x:c r="I29" s="4" t="n">
        <x:v>4.9</x:v>
      </x:c>
      <x:c r="J29" s="2" t="n">
        <x:v>24</x:v>
      </x:c>
      <x:c r="K29" s="2" t="n">
        <x:f>IF(OR(I29="",J29=""),"",IFERROR(ROUND(I29*LN(J29+1),1),""))</x:f>
        <x:v>15.8</x:v>
      </x:c>
      <x:c r="L29" s="2" t="str">
        <x:f>IF(K29="","Sem dados - qualificar",IF(K29&gt;=15,"A - Alta",IF(K29&gt;=8,"B - Média","C - Baixa")))</x:f>
        <x:v>A - Alta</x:v>
      </x:c>
      <x:c r="M29" s="2" t="inlineStr">
        <x:is>
          <x:t xml:space="preserve">Não contatado</x:t>
        </x:is>
      </x:c>
      <x:c r="N29" s="3" t="inlineStr">
        <x:is>
          <x:t xml:space="preserve"/>
        </x:is>
      </x:c>
      <x:c r="O29" s="3" t="inlineStr">
        <x:is>
          <x:t xml:space="preserve"/>
        </x:is>
      </x:c>
      <x:c r="P29" s="26" t="str">
        <x:v>costavedacoes@gmail.com</x:v>
      </x:c>
      <x:c r="Q29" s="3" t="inlineStr">
        <x:is>
          <x:t xml:space="preserve"/>
        </x:is>
      </x:c>
      <x:c r="R29" s="5" t="n"/>
      <x:c r="S29" s="3" t="inlineStr">
        <x:is>
          <x:t xml:space="preserve"/>
        </x:is>
      </x:c>
      <x:c r="T29" s="3" t="inlineStr">
        <x:is>
          <x:t xml:space="preserve"/>
        </x:is>
      </x:c>
      <x:c r="U29" s="26" t="str">
        <x:v>https://cnpjcheck.com.br/empresa/costa-vedacoes-e-acessorios-hidraulicos-e-pneumaticos-ltda-costa-vedacoes-18652095000193</x:v>
      </x:c>
    </x:row>
    <x:row r="30">
      <x:c r="A30" s="2" t="n">
        <x:v>29</x:v>
      </x:c>
      <x:c r="B30" s="3" t="inlineStr">
        <x:is>
          <x:t xml:space="preserve">Petrotec Offshore</x:t>
        </x:is>
      </x:c>
      <x:c r="C30" s="3" t="inlineStr">
        <x:is>
          <x:t xml:space="preserve">Vedações Offshore</x:t>
        </x:is>
      </x:c>
      <x:c r="D30" s="3" t="inlineStr">
        <x:is>
          <x:t xml:space="preserve">Macaé</x:t>
        </x:is>
      </x:c>
      <x:c r="E30" s="2" t="inlineStr">
        <x:is>
          <x:t xml:space="preserve">RJ</x:t>
        </x:is>
      </x:c>
      <x:c r="F30" s="2" t="inlineStr">
        <x:is>
          <x:t xml:space="preserve">Sudeste</x:t>
        </x:is>
      </x:c>
      <x:c r="G30" s="3" t="inlineStr">
        <x:is>
          <x:t xml:space="preserve">+55 22 2772-3175</x:t>
        </x:is>
      </x:c>
      <x:c r="H30" s="3" t="inlineStr">
        <x:is>
          <x:t xml:space="preserve">R. da Igualdade, 754 - Centro</x:t>
        </x:is>
      </x:c>
      <x:c r="I30" s="4" t="n">
        <x:v>4</x:v>
      </x:c>
      <x:c r="J30" s="2" t="n">
        <x:v>4</x:v>
      </x:c>
      <x:c r="K30" s="2" t="n">
        <x:f>IF(OR(I30="",J30=""),"",IFERROR(ROUND(I30*LN(J30+1),1),""))</x:f>
        <x:v>6.4</x:v>
      </x:c>
      <x:c r="L30" s="2" t="str">
        <x:f>IF(K30="","Sem dados - qualificar",IF(K30&gt;=15,"A - Alta",IF(K30&gt;=8,"B - Média","C - Baixa")))</x:f>
        <x:v>C - Baixa</x:v>
      </x:c>
      <x:c r="M30" s="2" t="inlineStr">
        <x:is>
          <x:t xml:space="preserve">Não contatado</x:t>
        </x:is>
      </x:c>
      <x:c r="N30" s="3" t="inlineStr">
        <x:is>
          <x:t xml:space="preserve"/>
        </x:is>
      </x:c>
      <x:c r="O30" s="3" t="inlineStr">
        <x:is>
          <x:t xml:space="preserve"/>
        </x:is>
      </x:c>
      <x:c r="P30" s="26" t="str">
        <x:v>petrotec@petrotecoffshore.com</x:v>
      </x:c>
      <x:c r="Q30" s="3" t="inlineStr">
        <x:is>
          <x:t xml:space="preserve"/>
        </x:is>
      </x:c>
      <x:c r="R30" s="5" t="n"/>
      <x:c r="S30" s="3" t="inlineStr">
        <x:is>
          <x:t xml:space="preserve"/>
        </x:is>
      </x:c>
      <x:c r="T30" s="3" t="inlineStr">
        <x:is>
          <x:t xml:space="preserve"/>
        </x:is>
      </x:c>
      <x:c r="U30" s="26" t="str">
        <x:v>https://petrotecoffshore.com/</x:v>
      </x:c>
    </x:row>
    <x:row r="31">
      <x:c r="A31" s="2" t="n">
        <x:v>30</x:v>
      </x:c>
      <x:c r="B31" s="3" t="inlineStr">
        <x:is>
          <x:t xml:space="preserve">Riotec Offshore Vedações Industriais</x:t>
        </x:is>
      </x:c>
      <x:c r="C31" s="3" t="inlineStr">
        <x:is>
          <x:t xml:space="preserve">Vedações Offshore</x:t>
        </x:is>
      </x:c>
      <x:c r="D31" s="3" t="inlineStr">
        <x:is>
          <x:t xml:space="preserve">Macaé</x:t>
        </x:is>
      </x:c>
      <x:c r="E31" s="2" t="inlineStr">
        <x:is>
          <x:t xml:space="preserve">RJ</x:t>
        </x:is>
      </x:c>
      <x:c r="F31" s="2" t="inlineStr">
        <x:is>
          <x:t xml:space="preserve">Sudeste</x:t>
        </x:is>
      </x:c>
      <x:c r="G31" s="3" t="inlineStr">
        <x:is>
          <x:t xml:space="preserve">+55 22 99905-4522</x:t>
        </x:is>
      </x:c>
      <x:c r="H31" s="3" t="inlineStr">
        <x:is>
          <x:t xml:space="preserve">Av. Carlos Augusto T. Garcia, 1810 - Sol y Mar</x:t>
        </x:is>
      </x:c>
      <x:c r="I31" s="4" t="n">
        <x:v>4.7</x:v>
      </x:c>
      <x:c r="J31" s="2" t="n">
        <x:v>41</x:v>
      </x:c>
      <x:c r="K31" s="2" t="n">
        <x:f>IF(OR(I31="",J31=""),"",IFERROR(ROUND(I31*LN(J31+1),1),""))</x:f>
        <x:v>17.6</x:v>
      </x:c>
      <x:c r="L31" s="2" t="str">
        <x:f>IF(K31="","Sem dados - qualificar",IF(K31&gt;=15,"A - Alta",IF(K31&gt;=8,"B - Média","C - Baixa")))</x:f>
        <x:v>A - Alta</x:v>
      </x:c>
      <x:c r="M31" s="2" t="inlineStr">
        <x:is>
          <x:t xml:space="preserve">Não contatado</x:t>
        </x:is>
      </x:c>
      <x:c r="N31" s="3" t="inlineStr">
        <x:is>
          <x:t xml:space="preserve"/>
        </x:is>
      </x:c>
      <x:c r="O31" s="3" t="inlineStr">
        <x:is>
          <x:t xml:space="preserve"/>
        </x:is>
      </x:c>
      <x:c r="P31" s="26" t="str">
        <x:v>comercial@riotecoffshore.com.br</x:v>
      </x:c>
      <x:c r="Q31" s="3" t="inlineStr">
        <x:is>
          <x:t xml:space="preserve"/>
        </x:is>
      </x:c>
      <x:c r="R31" s="5" t="n"/>
      <x:c r="S31" s="3" t="inlineStr">
        <x:is>
          <x:t xml:space="preserve"/>
        </x:is>
      </x:c>
      <x:c r="T31" s="3" t="inlineStr">
        <x:is>
          <x:t xml:space="preserve"/>
        </x:is>
      </x:c>
      <x:c r="U31" s="26" t="str">
        <x:v>https://www.riotecoffshore.com.br/</x:v>
      </x:c>
    </x:row>
    <x:row r="32">
      <x:c r="A32" s="2" t="n">
        <x:v>31</x:v>
      </x:c>
      <x:c r="B32" s="3" t="inlineStr">
        <x:is>
          <x:t xml:space="preserve">Unived Vedações Técnicas</x:t>
        </x:is>
      </x:c>
      <x:c r="C32" s="3" t="inlineStr">
        <x:is>
          <x:t xml:space="preserve">Vedações</x:t>
        </x:is>
      </x:c>
      <x:c r="D32" s="3" t="inlineStr">
        <x:is>
          <x:t xml:space="preserve">Macaé</x:t>
        </x:is>
      </x:c>
      <x:c r="E32" s="2" t="inlineStr">
        <x:is>
          <x:t xml:space="preserve">RJ</x:t>
        </x:is>
      </x:c>
      <x:c r="F32" s="2" t="inlineStr">
        <x:is>
          <x:t xml:space="preserve">Sudeste</x:t>
        </x:is>
      </x:c>
      <x:c r="G32" s="3" t="inlineStr">
        <x:is>
          <x:t xml:space="preserve">+55 22 2770-0801</x:t>
        </x:is>
      </x:c>
      <x:c r="H32" s="3" t="inlineStr">
        <x:is>
          <x:t xml:space="preserve">Av. Carlos Augusto T. Garcia, 1566 - Sol e Mar</x:t>
        </x:is>
      </x:c>
      <x:c r="I32" s="4" t="n">
        <x:v>3.4</x:v>
      </x:c>
      <x:c r="J32" s="2" t="n">
        <x:v>16</x:v>
      </x:c>
      <x:c r="K32" s="2" t="n">
        <x:f>IF(OR(I32="",J32=""),"",IFERROR(ROUND(I32*LN(J32+1),1),""))</x:f>
        <x:v>9.6</x:v>
      </x:c>
      <x:c r="L32" s="2" t="str">
        <x:f>IF(K32="","Sem dados - qualificar",IF(K32&gt;=15,"A - Alta",IF(K32&gt;=8,"B - Média","C - Baixa")))</x:f>
        <x:v>B - Média</x:v>
      </x:c>
      <x:c r="M32" s="2" t="inlineStr">
        <x:is>
          <x:t xml:space="preserve">Não contatado</x:t>
        </x:is>
      </x:c>
      <x:c r="N32" s="3" t="inlineStr">
        <x:is>
          <x:t xml:space="preserve"/>
        </x:is>
      </x:c>
      <x:c r="O32" s="3" t="inlineStr">
        <x:is>
          <x:t xml:space="preserve"/>
        </x:is>
      </x:c>
      <x:c r="P32" s="26" t="str"/>
      <x:c r="Q32" s="3" t="inlineStr">
        <x:is>
          <x:t xml:space="preserve"/>
        </x:is>
      </x:c>
      <x:c r="R32" s="5" t="n"/>
      <x:c r="S32" s="3" t="inlineStr">
        <x:is>
          <x:t xml:space="preserve"/>
        </x:is>
      </x:c>
      <x:c r="T32" s="3" t="inlineStr">
        <x:is>
          <x:t xml:space="preserve"/>
        </x:is>
      </x:c>
      <x:c r="U32" s="26" t="str">
        <x:v>Não localizado em fonte pública confiável até 24/07/2026</x:v>
      </x:c>
    </x:row>
    <x:row r="33">
      <x:c r="A33" s="2" t="n">
        <x:v>32</x:v>
      </x:c>
      <x:c r="B33" s="3" t="inlineStr">
        <x:is>
          <x:t xml:space="preserve">BM Distribuidora de Vedações</x:t>
        </x:is>
      </x:c>
      <x:c r="C33" s="3" t="inlineStr">
        <x:is>
          <x:t xml:space="preserve">Distribuidora</x:t>
        </x:is>
      </x:c>
      <x:c r="D33" s="3" t="inlineStr">
        <x:is>
          <x:t xml:space="preserve">Mesquita</x:t>
        </x:is>
      </x:c>
      <x:c r="E33" s="2" t="inlineStr">
        <x:is>
          <x:t xml:space="preserve">RJ</x:t>
        </x:is>
      </x:c>
      <x:c r="F33" s="2" t="inlineStr">
        <x:is>
          <x:t xml:space="preserve">Sudeste</x:t>
        </x:is>
      </x:c>
      <x:c r="G33" s="3" t="inlineStr">
        <x:is>
          <x:t xml:space="preserve">+55 21 2697-2597</x:t>
        </x:is>
      </x:c>
      <x:c r="H33" s="3" t="inlineStr">
        <x:is>
          <x:t xml:space="preserve">Av. Gov. Celso Peçanha, 214 - Cruzeiro do Sul</x:t>
        </x:is>
      </x:c>
      <x:c r="I33" s="4" t="n">
        <x:v>4.7</x:v>
      </x:c>
      <x:c r="J33" s="2" t="n">
        <x:v>9</x:v>
      </x:c>
      <x:c r="K33" s="2" t="n">
        <x:f>IF(OR(I33="",J33=""),"",IFERROR(ROUND(I33*LN(J33+1),1),""))</x:f>
        <x:v>10.8</x:v>
      </x:c>
      <x:c r="L33" s="2" t="str">
        <x:f>IF(K33="","Sem dados - qualificar",IF(K33&gt;=15,"A - Alta",IF(K33&gt;=8,"B - Média","C - Baixa")))</x:f>
        <x:v>B - Média</x:v>
      </x:c>
      <x:c r="M33" s="2" t="inlineStr">
        <x:is>
          <x:t xml:space="preserve">Não contatado</x:t>
        </x:is>
      </x:c>
      <x:c r="N33" s="3" t="inlineStr">
        <x:is>
          <x:t xml:space="preserve"/>
        </x:is>
      </x:c>
      <x:c r="O33" s="3" t="inlineStr">
        <x:is>
          <x:t xml:space="preserve"/>
        </x:is>
      </x:c>
      <x:c r="P33" s="26" t="str"/>
      <x:c r="Q33" s="3" t="inlineStr">
        <x:is>
          <x:t xml:space="preserve"/>
        </x:is>
      </x:c>
      <x:c r="R33" s="5" t="n"/>
      <x:c r="S33" s="3" t="inlineStr">
        <x:is>
          <x:t xml:space="preserve"/>
        </x:is>
      </x:c>
      <x:c r="T33" s="3" t="inlineStr">
        <x:is>
          <x:t xml:space="preserve"/>
        </x:is>
      </x:c>
      <x:c r="U33" s="26" t="str">
        <x:v>Não localizado em fonte pública confiável até 24/07/2026</x:v>
      </x:c>
    </x:row>
    <x:row r="34">
      <x:c r="A34" s="2" t="n">
        <x:v>33</x:v>
      </x:c>
      <x:c r="B34" s="3" t="inlineStr">
        <x:is>
          <x:t xml:space="preserve">DN Vedações</x:t>
        </x:is>
      </x:c>
      <x:c r="C34" s="3" t="inlineStr">
        <x:is>
          <x:t xml:space="preserve">Vedações</x:t>
        </x:is>
      </x:c>
      <x:c r="D34" s="3" t="inlineStr">
        <x:is>
          <x:t xml:space="preserve">Rio de Janeiro</x:t>
        </x:is>
      </x:c>
      <x:c r="E34" s="2" t="inlineStr">
        <x:is>
          <x:t xml:space="preserve">RJ</x:t>
        </x:is>
      </x:c>
      <x:c r="F34" s="2" t="inlineStr">
        <x:is>
          <x:t xml:space="preserve">Sudeste</x:t>
        </x:is>
      </x:c>
      <x:c r="G34" s="3" t="inlineStr">
        <x:is>
          <x:t xml:space="preserve">+55 21 99894-3493</x:t>
        </x:is>
      </x:c>
      <x:c r="H34" s="3" t="inlineStr">
        <x:is>
          <x:t xml:space="preserve">R. Belizário Pena, 223 - Penha</x:t>
        </x:is>
      </x:c>
      <x:c r="I34" s="4" t="n">
        <x:v>4.9</x:v>
      </x:c>
      <x:c r="J34" s="2" t="n">
        <x:v>287</x:v>
      </x:c>
      <x:c r="K34" s="2" t="n">
        <x:f>IF(OR(I34="",J34=""),"",IFERROR(ROUND(I34*LN(J34+1),1),""))</x:f>
        <x:v>27.7</x:v>
      </x:c>
      <x:c r="L34" s="2" t="str">
        <x:f>IF(K34="","Sem dados - qualificar",IF(K34&gt;=15,"A - Alta",IF(K34&gt;=8,"B - Média","C - Baixa")))</x:f>
        <x:v>A - Alta</x:v>
      </x:c>
      <x:c r="M34" s="2" t="inlineStr">
        <x:is>
          <x:t xml:space="preserve">Não contatado</x:t>
        </x:is>
      </x:c>
      <x:c r="N34" s="3" t="inlineStr">
        <x:is>
          <x:t xml:space="preserve"/>
        </x:is>
      </x:c>
      <x:c r="O34" s="3" t="inlineStr">
        <x:is>
          <x:t xml:space="preserve"/>
        </x:is>
      </x:c>
      <x:c r="P34" s="26" t="str"/>
      <x:c r="Q34" s="3" t="inlineStr">
        <x:is>
          <x:t xml:space="preserve"/>
        </x:is>
      </x:c>
      <x:c r="R34" s="5" t="n"/>
      <x:c r="S34" s="3" t="inlineStr">
        <x:is>
          <x:t xml:space="preserve"/>
        </x:is>
      </x:c>
      <x:c r="T34" s="3" t="inlineStr">
        <x:is>
          <x:t xml:space="preserve"/>
        </x:is>
      </x:c>
      <x:c r="U34" s="26" t="str">
        <x:v>Não localizado em fonte pública confiável até 24/07/2026</x:v>
      </x:c>
    </x:row>
    <x:row r="35">
      <x:c r="A35" s="2" t="n">
        <x:v>34</x:v>
      </x:c>
      <x:c r="B35" s="3" t="inlineStr">
        <x:is>
          <x:t xml:space="preserve">Rioveda</x:t>
        </x:is>
      </x:c>
      <x:c r="C35" s="3" t="inlineStr">
        <x:is>
          <x:t xml:space="preserve">Fabricante/Vedações</x:t>
        </x:is>
      </x:c>
      <x:c r="D35" s="3" t="inlineStr">
        <x:is>
          <x:t xml:space="preserve">Rio de Janeiro</x:t>
        </x:is>
      </x:c>
      <x:c r="E35" s="2" t="inlineStr">
        <x:is>
          <x:t xml:space="preserve">RJ</x:t>
        </x:is>
      </x:c>
      <x:c r="F35" s="2" t="inlineStr">
        <x:is>
          <x:t xml:space="preserve">Sudeste</x:t>
        </x:is>
      </x:c>
      <x:c r="G35" s="3" t="inlineStr">
        <x:is>
          <x:t xml:space="preserve">+55 21 3194-1950</x:t>
        </x:is>
      </x:c>
      <x:c r="H35" s="3" t="inlineStr">
        <x:is>
          <x:t xml:space="preserve">Av. Paris, 571 - Bonsucesso</x:t>
        </x:is>
      </x:c>
      <x:c r="I35" s="4" t="n">
        <x:v>4.4</x:v>
      </x:c>
      <x:c r="J35" s="2" t="n">
        <x:v>44</x:v>
      </x:c>
      <x:c r="K35" s="2" t="n">
        <x:f>IF(OR(I35="",J35=""),"",IFERROR(ROUND(I35*LN(J35+1),1),""))</x:f>
        <x:v>16.7</x:v>
      </x:c>
      <x:c r="L35" s="2" t="str">
        <x:f>IF(K35="","Sem dados - qualificar",IF(K35&gt;=15,"A - Alta",IF(K35&gt;=8,"B - Média","C - Baixa")))</x:f>
        <x:v>A - Alta</x:v>
      </x:c>
      <x:c r="M35" s="2" t="inlineStr">
        <x:is>
          <x:t xml:space="preserve">Não contatado</x:t>
        </x:is>
      </x:c>
      <x:c r="N35" s="3" t="inlineStr">
        <x:is>
          <x:t xml:space="preserve"/>
        </x:is>
      </x:c>
      <x:c r="O35" s="3" t="inlineStr">
        <x:is>
          <x:t xml:space="preserve"/>
        </x:is>
      </x:c>
      <x:c r="P35" s="26" t="str">
        <x:v>rioveda@rioveda.com.br</x:v>
      </x:c>
      <x:c r="Q35" s="3" t="inlineStr">
        <x:is>
          <x:t xml:space="preserve"/>
        </x:is>
      </x:c>
      <x:c r="R35" s="5" t="n"/>
      <x:c r="S35" s="3" t="inlineStr">
        <x:is>
          <x:t xml:space="preserve"/>
        </x:is>
      </x:c>
      <x:c r="T35" s="3" t="inlineStr">
        <x:is>
          <x:t xml:space="preserve"/>
        </x:is>
      </x:c>
      <x:c r="U35" s="26" t="str">
        <x:v>https://www.rioveda.com.br/</x:v>
      </x:c>
    </x:row>
    <x:row r="36">
      <x:c r="A36" s="2" t="n">
        <x:v>35</x:v>
      </x:c>
      <x:c r="B36" s="3" t="inlineStr">
        <x:is>
          <x:t xml:space="preserve">Rubbertec Comércio e Serviços</x:t>
        </x:is>
      </x:c>
      <x:c r="C36" s="3" t="inlineStr">
        <x:is>
          <x:t xml:space="preserve">Vedações</x:t>
        </x:is>
      </x:c>
      <x:c r="D36" s="3" t="inlineStr">
        <x:is>
          <x:t xml:space="preserve">Rio de Janeiro</x:t>
        </x:is>
      </x:c>
      <x:c r="E36" s="2" t="inlineStr">
        <x:is>
          <x:t xml:space="preserve">RJ</x:t>
        </x:is>
      </x:c>
      <x:c r="F36" s="2" t="inlineStr">
        <x:is>
          <x:t xml:space="preserve">Sudeste</x:t>
        </x:is>
      </x:c>
      <x:c r="G36" s="3" t="inlineStr">
        <x:is>
          <x:t xml:space="preserve">+55 21 3860-6900</x:t>
        </x:is>
      </x:c>
      <x:c r="H36" s="3" t="inlineStr">
        <x:is>
          <x:t xml:space="preserve">R. Bela, 954 - São Cristóvão</x:t>
        </x:is>
      </x:c>
      <x:c r="I36" s="4" t="n">
        <x:v>4.6</x:v>
      </x:c>
      <x:c r="J36" s="2" t="n">
        <x:v>201</x:v>
      </x:c>
      <x:c r="K36" s="2" t="n">
        <x:f>IF(OR(I36="",J36=""),"",IFERROR(ROUND(I36*LN(J36+1),1),""))</x:f>
        <x:v>24.4</x:v>
      </x:c>
      <x:c r="L36" s="2" t="str">
        <x:f>IF(K36="","Sem dados - qualificar",IF(K36&gt;=15,"A - Alta",IF(K36&gt;=8,"B - Média","C - Baixa")))</x:f>
        <x:v>A - Alta</x:v>
      </x:c>
      <x:c r="M36" s="2" t="inlineStr">
        <x:is>
          <x:t xml:space="preserve">Não contatado</x:t>
        </x:is>
      </x:c>
      <x:c r="N36" s="3" t="inlineStr">
        <x:is>
          <x:t xml:space="preserve"/>
        </x:is>
      </x:c>
      <x:c r="O36" s="3" t="inlineStr">
        <x:is>
          <x:t xml:space="preserve"/>
        </x:is>
      </x:c>
      <x:c r="P36" s="26" t="str">
        <x:v>vendas@rubbertec.com.br</x:v>
      </x:c>
      <x:c r="Q36" s="3" t="inlineStr">
        <x:is>
          <x:t xml:space="preserve"/>
        </x:is>
      </x:c>
      <x:c r="R36" s="5" t="n"/>
      <x:c r="S36" s="3" t="inlineStr">
        <x:is>
          <x:t xml:space="preserve"/>
        </x:is>
      </x:c>
      <x:c r="T36" s="3" t="inlineStr">
        <x:is>
          <x:t xml:space="preserve"/>
        </x:is>
      </x:c>
      <x:c r="U36" s="26" t="str">
        <x:v>https://www.rubbertec.com.br/contato</x:v>
      </x:c>
    </x:row>
    <x:row r="37">
      <x:c r="A37" s="2" t="n">
        <x:v>36</x:v>
      </x:c>
      <x:c r="B37" s="3" t="inlineStr">
        <x:is>
          <x:t xml:space="preserve">Alcalde Vedações</x:t>
        </x:is>
      </x:c>
      <x:c r="C37" s="3" t="inlineStr">
        <x:is>
          <x:t xml:space="preserve">Vedações</x:t>
        </x:is>
      </x:c>
      <x:c r="D37" s="3" t="inlineStr">
        <x:is>
          <x:t xml:space="preserve">Americana</x:t>
        </x:is>
      </x:c>
      <x:c r="E37" s="2" t="inlineStr">
        <x:is>
          <x:t xml:space="preserve">SP</x:t>
        </x:is>
      </x:c>
      <x:c r="F37" s="2" t="inlineStr">
        <x:is>
          <x:t xml:space="preserve">Sudeste</x:t>
        </x:is>
      </x:c>
      <x:c r="G37" s="3" t="inlineStr">
        <x:is>
          <x:t xml:space="preserve">+55 15 99132-9586</x:t>
        </x:is>
      </x:c>
      <x:c r="H37" s="3" t="inlineStr">
        <x:is>
          <x:t xml:space="preserve">R. São Teodoro, 790 - Jd. N. Sra. do Carmo</x:t>
        </x:is>
      </x:c>
      <x:c r="I37" s="4" t="n">
        <x:v>5</x:v>
      </x:c>
      <x:c r="J37" s="2" t="n">
        <x:v>14</x:v>
      </x:c>
      <x:c r="K37" s="2" t="n">
        <x:f>IF(OR(I37="",J37=""),"",IFERROR(ROUND(I37*LN(J37+1),1),""))</x:f>
        <x:v>13.5</x:v>
      </x:c>
      <x:c r="L37" s="2" t="str">
        <x:f>IF(K37="","Sem dados - qualificar",IF(K37&gt;=15,"A - Alta",IF(K37&gt;=8,"B - Média","C - Baixa")))</x:f>
        <x:v>B - Média</x:v>
      </x:c>
      <x:c r="M37" s="2" t="inlineStr">
        <x:is>
          <x:t xml:space="preserve">Não contatado</x:t>
        </x:is>
      </x:c>
      <x:c r="N37" s="3" t="inlineStr">
        <x:is>
          <x:t xml:space="preserve"/>
        </x:is>
      </x:c>
      <x:c r="O37" s="3" t="inlineStr">
        <x:is>
          <x:t xml:space="preserve"/>
        </x:is>
      </x:c>
      <x:c r="P37" s="26" t="str">
        <x:v>contato@alcaldevedacoes.com.br</x:v>
      </x:c>
      <x:c r="Q37" s="3" t="inlineStr">
        <x:is>
          <x:t xml:space="preserve"/>
        </x:is>
      </x:c>
      <x:c r="R37" s="5" t="n"/>
      <x:c r="S37" s="3" t="inlineStr">
        <x:is>
          <x:t xml:space="preserve"/>
        </x:is>
      </x:c>
      <x:c r="T37" s="3" t="inlineStr">
        <x:is>
          <x:t xml:space="preserve"/>
        </x:is>
      </x:c>
      <x:c r="U37" s="26" t="str">
        <x:v>https://alcaldevedacoes.com.br/</x:v>
      </x:c>
    </x:row>
    <x:row r="38">
      <x:c r="A38" s="2" t="n">
        <x:v>37</x:v>
      </x:c>
      <x:c r="B38" s="3" t="inlineStr">
        <x:is>
          <x:t xml:space="preserve">Ameriveda Trade Representations</x:t>
        </x:is>
      </x:c>
      <x:c r="C38" s="3" t="inlineStr">
        <x:is>
          <x:t xml:space="preserve">Vedações</x:t>
        </x:is>
      </x:c>
      <x:c r="D38" s="3" t="inlineStr">
        <x:is>
          <x:t xml:space="preserve">Americana</x:t>
        </x:is>
      </x:c>
      <x:c r="E38" s="2" t="inlineStr">
        <x:is>
          <x:t xml:space="preserve">SP</x:t>
        </x:is>
      </x:c>
      <x:c r="F38" s="2" t="inlineStr">
        <x:is>
          <x:t xml:space="preserve">Sudeste</x:t>
        </x:is>
      </x:c>
      <x:c r="G38" s="3" t="inlineStr">
        <x:is>
          <x:t xml:space="preserve">+55 19 3468-1647</x:t>
        </x:is>
      </x:c>
      <x:c r="H38" s="3" t="inlineStr">
        <x:is>
          <x:t xml:space="preserve">R. Antônio Nunes, 557 - Campo Limpo</x:t>
        </x:is>
      </x:c>
      <x:c r="I38" s="4" t="n">
        <x:v>4.5</x:v>
      </x:c>
      <x:c r="J38" s="2" t="n">
        <x:v>393</x:v>
      </x:c>
      <x:c r="K38" s="2" t="n">
        <x:f>IF(OR(I38="",J38=""),"",IFERROR(ROUND(I38*LN(J38+1),1),""))</x:f>
        <x:v>26.9</x:v>
      </x:c>
      <x:c r="L38" s="2" t="str">
        <x:f>IF(K38="","Sem dados - qualificar",IF(K38&gt;=15,"A - Alta",IF(K38&gt;=8,"B - Média","C - Baixa")))</x:f>
        <x:v>A - Alta</x:v>
      </x:c>
      <x:c r="M38" s="2" t="inlineStr">
        <x:is>
          <x:t xml:space="preserve">Não contatado</x:t>
        </x:is>
      </x:c>
      <x:c r="N38" s="3" t="inlineStr">
        <x:is>
          <x:t xml:space="preserve"/>
        </x:is>
      </x:c>
      <x:c r="O38" s="3" t="inlineStr">
        <x:is>
          <x:t xml:space="preserve"/>
        </x:is>
      </x:c>
      <x:c r="P38" s="26" t="str"/>
      <x:c r="Q38" s="3" t="inlineStr">
        <x:is>
          <x:t xml:space="preserve"/>
        </x:is>
      </x:c>
      <x:c r="R38" s="5" t="n"/>
      <x:c r="S38" s="3" t="inlineStr">
        <x:is>
          <x:t xml:space="preserve"/>
        </x:is>
      </x:c>
      <x:c r="T38" s="3" t="inlineStr">
        <x:is>
          <x:t xml:space="preserve"/>
        </x:is>
      </x:c>
      <x:c r="U38" s="26" t="str">
        <x:v>Não localizado em fonte pública confiável até 24/07/2026</x:v>
      </x:c>
    </x:row>
    <x:row r="39">
      <x:c r="A39" s="2" t="n">
        <x:v>38</x:v>
      </x:c>
      <x:c r="B39" s="3" t="inlineStr">
        <x:is>
          <x:t xml:space="preserve">RM Golfi</x:t>
        </x:is>
      </x:c>
      <x:c r="C39" s="3" t="inlineStr">
        <x:is>
          <x:t xml:space="preserve">Vedações</x:t>
        </x:is>
      </x:c>
      <x:c r="D39" s="3" t="inlineStr">
        <x:is>
          <x:t xml:space="preserve">Americana</x:t>
        </x:is>
      </x:c>
      <x:c r="E39" s="2" t="inlineStr">
        <x:is>
          <x:t xml:space="preserve">SP</x:t>
        </x:is>
      </x:c>
      <x:c r="F39" s="2" t="inlineStr">
        <x:is>
          <x:t xml:space="preserve">Sudeste</x:t>
        </x:is>
      </x:c>
      <x:c r="G39" s="3" t="inlineStr">
        <x:is>
          <x:t xml:space="preserve">+55 19 98131-6169</x:t>
        </x:is>
      </x:c>
      <x:c r="H39" s="3" t="inlineStr">
        <x:is>
          <x:t xml:space="preserve">R. Florindo Cibin, 3600 - Pq. das Nações</x:t>
        </x:is>
      </x:c>
      <x:c r="I39" s="4" t="n">
        <x:v>5</x:v>
      </x:c>
      <x:c r="J39" s="2" t="n">
        <x:v>5</x:v>
      </x:c>
      <x:c r="K39" s="2" t="n">
        <x:f>IF(OR(I39="",J39=""),"",IFERROR(ROUND(I39*LN(J39+1),1),""))</x:f>
        <x:v>9</x:v>
      </x:c>
      <x:c r="L39" s="2" t="str">
        <x:f>IF(K39="","Sem dados - qualificar",IF(K39&gt;=15,"A - Alta",IF(K39&gt;=8,"B - Média","C - Baixa")))</x:f>
        <x:v>B - Média</x:v>
      </x:c>
      <x:c r="M39" s="2" t="inlineStr">
        <x:is>
          <x:t xml:space="preserve">Não contatado</x:t>
        </x:is>
      </x:c>
      <x:c r="N39" s="3" t="inlineStr">
        <x:is>
          <x:t xml:space="preserve"/>
        </x:is>
      </x:c>
      <x:c r="O39" s="3" t="inlineStr">
        <x:is>
          <x:t xml:space="preserve"/>
        </x:is>
      </x:c>
      <x:c r="P39" s="26" t="str"/>
      <x:c r="Q39" s="3" t="inlineStr">
        <x:is>
          <x:t xml:space="preserve"/>
        </x:is>
      </x:c>
      <x:c r="R39" s="5" t="n"/>
      <x:c r="S39" s="3" t="inlineStr">
        <x:is>
          <x:t xml:space="preserve"/>
        </x:is>
      </x:c>
      <x:c r="T39" s="3" t="inlineStr">
        <x:is>
          <x:t xml:space="preserve"/>
        </x:is>
      </x:c>
      <x:c r="U39" s="26" t="str">
        <x:v>Não localizado em fonte pública confiável até 24/07/2026</x:v>
      </x:c>
    </x:row>
    <x:row r="40">
      <x:c r="A40" s="2" t="n">
        <x:v>39</x:v>
      </x:c>
      <x:c r="B40" s="3" t="inlineStr">
        <x:is>
          <x:t xml:space="preserve">RM Vedações</x:t>
        </x:is>
      </x:c>
      <x:c r="C40" s="3" t="inlineStr">
        <x:is>
          <x:t xml:space="preserve">Fabricante/Vedações</x:t>
        </x:is>
      </x:c>
      <x:c r="D40" s="3" t="inlineStr">
        <x:is>
          <x:t xml:space="preserve">Americana</x:t>
        </x:is>
      </x:c>
      <x:c r="E40" s="2" t="inlineStr">
        <x:is>
          <x:t xml:space="preserve">SP</x:t>
        </x:is>
      </x:c>
      <x:c r="F40" s="2" t="inlineStr">
        <x:is>
          <x:t xml:space="preserve">Sudeste</x:t>
        </x:is>
      </x:c>
      <x:c r="G40" s="3" t="inlineStr">
        <x:is>
          <x:t xml:space="preserve">+55 19 98131-6169</x:t>
        </x:is>
      </x:c>
      <x:c r="H40" s="3" t="inlineStr">
        <x:is>
          <x:t xml:space="preserve">R. Florindo Cibin, 3600 - Pq. das Nações</x:t>
        </x:is>
      </x:c>
      <x:c r="I40" s="4" t="n">
        <x:v>5</x:v>
      </x:c>
      <x:c r="J40" s="2" t="n">
        <x:v>1</x:v>
      </x:c>
      <x:c r="K40" s="2" t="n">
        <x:f>IF(OR(I40="",J40=""),"",IFERROR(ROUND(I40*LN(J40+1),1),""))</x:f>
        <x:v>3.5</x:v>
      </x:c>
      <x:c r="L40" s="2" t="str">
        <x:f>IF(K40="","Sem dados - qualificar",IF(K40&gt;=15,"A - Alta",IF(K40&gt;=8,"B - Média","C - Baixa")))</x:f>
        <x:v>C - Baixa</x:v>
      </x:c>
      <x:c r="M40" s="2" t="inlineStr">
        <x:is>
          <x:t xml:space="preserve">Não contatado</x:t>
        </x:is>
      </x:c>
      <x:c r="N40" s="3" t="inlineStr">
        <x:is>
          <x:t xml:space="preserve"/>
        </x:is>
      </x:c>
      <x:c r="O40" s="3" t="inlineStr">
        <x:is>
          <x:t xml:space="preserve"/>
        </x:is>
      </x:c>
      <x:c r="P40" s="26" t="str"/>
      <x:c r="Q40" s="3" t="inlineStr">
        <x:is>
          <x:t xml:space="preserve"/>
        </x:is>
      </x:c>
      <x:c r="R40" s="5" t="n"/>
      <x:c r="S40" s="3" t="inlineStr">
        <x:is>
          <x:t xml:space="preserve"/>
        </x:is>
      </x:c>
      <x:c r="T40" s="3" t="inlineStr">
        <x:is>
          <x:t xml:space="preserve"/>
        </x:is>
      </x:c>
      <x:c r="U40" s="26" t="str">
        <x:v>Não localizado em fonte pública confiável até 24/07/2026</x:v>
      </x:c>
    </x:row>
    <x:row r="41">
      <x:c r="A41" s="2" t="n">
        <x:v>40</x:v>
      </x:c>
      <x:c r="B41" s="3" t="inlineStr">
        <x:is>
          <x:t xml:space="preserve">Vedação Araraquara</x:t>
        </x:is>
      </x:c>
      <x:c r="C41" s="3" t="inlineStr">
        <x:is>
          <x:t xml:space="preserve">Vedações</x:t>
        </x:is>
      </x:c>
      <x:c r="D41" s="3" t="inlineStr">
        <x:is>
          <x:t xml:space="preserve">Araraquara</x:t>
        </x:is>
      </x:c>
      <x:c r="E41" s="2" t="inlineStr">
        <x:is>
          <x:t xml:space="preserve">SP</x:t>
        </x:is>
      </x:c>
      <x:c r="F41" s="2" t="inlineStr">
        <x:is>
          <x:t xml:space="preserve">Sudeste</x:t>
        </x:is>
      </x:c>
      <x:c r="G41" s="3" t="inlineStr">
        <x:is>
          <x:t xml:space="preserve">+55 16 3336-9727</x:t>
        </x:is>
      </x:c>
      <x:c r="H41" s="3" t="inlineStr">
        <x:is>
          <x:t xml:space="preserve">Av. Pe. Francisco S. Colturato, 297</x:t>
        </x:is>
      </x:c>
      <x:c r="I41" s="4" t="n">
        <x:v>4.8</x:v>
      </x:c>
      <x:c r="J41" s="2" t="n">
        <x:v>41</x:v>
      </x:c>
      <x:c r="K41" s="2" t="n">
        <x:f>IF(OR(I41="",J41=""),"",IFERROR(ROUND(I41*LN(J41+1),1),""))</x:f>
        <x:v>17.9</x:v>
      </x:c>
      <x:c r="L41" s="2" t="str">
        <x:f>IF(K41="","Sem dados - qualificar",IF(K41&gt;=15,"A - Alta",IF(K41&gt;=8,"B - Média","C - Baixa")))</x:f>
        <x:v>A - Alta</x:v>
      </x:c>
      <x:c r="M41" s="2" t="inlineStr">
        <x:is>
          <x:t xml:space="preserve">Não contatado</x:t>
        </x:is>
      </x:c>
      <x:c r="N41" s="3" t="inlineStr">
        <x:is>
          <x:t xml:space="preserve"/>
        </x:is>
      </x:c>
      <x:c r="O41" s="3" t="inlineStr">
        <x:is>
          <x:t xml:space="preserve"/>
        </x:is>
      </x:c>
      <x:c r="P41" s="26" t="str"/>
      <x:c r="Q41" s="3" t="inlineStr">
        <x:is>
          <x:t xml:space="preserve"/>
        </x:is>
      </x:c>
      <x:c r="R41" s="5" t="n"/>
      <x:c r="S41" s="3" t="inlineStr">
        <x:is>
          <x:t xml:space="preserve"/>
        </x:is>
      </x:c>
      <x:c r="T41" s="3" t="inlineStr">
        <x:is>
          <x:t xml:space="preserve"/>
        </x:is>
      </x:c>
      <x:c r="U41" s="26" t="str">
        <x:v>Não localizado em fonte pública confiável até 24/07/2026</x:v>
      </x:c>
    </x:row>
    <x:row r="42">
      <x:c r="A42" s="2" t="n">
        <x:v>41</x:v>
      </x:c>
      <x:c r="B42" s="3" t="inlineStr">
        <x:is>
          <x:t xml:space="preserve">Veda-Ata Comércio de Peças</x:t>
        </x:is>
      </x:c>
      <x:c r="C42" s="3" t="inlineStr">
        <x:is>
          <x:t xml:space="preserve">Vedações</x:t>
        </x:is>
      </x:c>
      <x:c r="D42" s="3" t="inlineStr">
        <x:is>
          <x:t xml:space="preserve">Araçatuba</x:t>
        </x:is>
      </x:c>
      <x:c r="E42" s="2" t="inlineStr">
        <x:is>
          <x:t xml:space="preserve">SP</x:t>
        </x:is>
      </x:c>
      <x:c r="F42" s="2" t="inlineStr">
        <x:is>
          <x:t xml:space="preserve">Sudeste</x:t>
        </x:is>
      </x:c>
      <x:c r="G42" s="3" t="inlineStr">
        <x:is>
          <x:t xml:space="preserve">+55 18 3519-3900</x:t>
        </x:is>
      </x:c>
      <x:c r="H42" s="3" t="inlineStr">
        <x:is>
          <x:t xml:space="preserve">R. Aguapeí, 1770 - Jd. do Prado</x:t>
        </x:is>
      </x:c>
      <x:c r="I42" s="4" t="n">
        <x:v>4.7</x:v>
      </x:c>
      <x:c r="J42" s="2" t="n">
        <x:v>26</x:v>
      </x:c>
      <x:c r="K42" s="2" t="n">
        <x:f>IF(OR(I42="",J42=""),"",IFERROR(ROUND(I42*LN(J42+1),1),""))</x:f>
        <x:v>15.5</x:v>
      </x:c>
      <x:c r="L42" s="2" t="str">
        <x:f>IF(K42="","Sem dados - qualificar",IF(K42&gt;=15,"A - Alta",IF(K42&gt;=8,"B - Média","C - Baixa")))</x:f>
        <x:v>A - Alta</x:v>
      </x:c>
      <x:c r="M42" s="2" t="inlineStr">
        <x:is>
          <x:t xml:space="preserve">Não contatado</x:t>
        </x:is>
      </x:c>
      <x:c r="N42" s="3" t="inlineStr">
        <x:is>
          <x:t xml:space="preserve"/>
        </x:is>
      </x:c>
      <x:c r="O42" s="3" t="inlineStr">
        <x:is>
          <x:t xml:space="preserve"/>
        </x:is>
      </x:c>
      <x:c r="P42" s="26" t="str"/>
      <x:c r="Q42" s="3" t="inlineStr">
        <x:is>
          <x:t xml:space="preserve"/>
        </x:is>
      </x:c>
      <x:c r="R42" s="5" t="n"/>
      <x:c r="S42" s="3" t="inlineStr">
        <x:is>
          <x:t xml:space="preserve"/>
        </x:is>
      </x:c>
      <x:c r="T42" s="3" t="inlineStr">
        <x:is>
          <x:t xml:space="preserve"/>
        </x:is>
      </x:c>
      <x:c r="U42" s="26" t="str">
        <x:v>Não localizado em fonte pública confiável até 24/07/2026</x:v>
      </x:c>
    </x:row>
    <x:row r="43">
      <x:c r="A43" s="2" t="n">
        <x:v>42</x:v>
      </x:c>
      <x:c r="B43" s="3" t="inlineStr">
        <x:is>
          <x:t xml:space="preserve">Vedasa Materiais</x:t>
        </x:is>
      </x:c>
      <x:c r="C43" s="3" t="inlineStr">
        <x:is>
          <x:t xml:space="preserve">Vedações</x:t>
        </x:is>
      </x:c>
      <x:c r="D43" s="3" t="inlineStr">
        <x:is>
          <x:t xml:space="preserve">Barretos</x:t>
        </x:is>
      </x:c>
      <x:c r="E43" s="2" t="inlineStr">
        <x:is>
          <x:t xml:space="preserve">SP</x:t>
        </x:is>
      </x:c>
      <x:c r="F43" s="2" t="inlineStr">
        <x:is>
          <x:t xml:space="preserve">Sudeste</x:t>
        </x:is>
      </x:c>
      <x:c r="G43" s="3" t="inlineStr">
        <x:is>
          <x:t xml:space="preserve">+55 17 3323-1093</x:t>
        </x:is>
      </x:c>
      <x:c r="H43" s="3" t="inlineStr">
        <x:is>
          <x:t xml:space="preserve">Centro</x:t>
        </x:is>
      </x:c>
      <x:c r="I43" s="4" t="n">
        <x:v>4.8</x:v>
      </x:c>
      <x:c r="J43" s="2" t="n">
        <x:v>73</x:v>
      </x:c>
      <x:c r="K43" s="2" t="n">
        <x:f>IF(OR(I43="",J43=""),"",IFERROR(ROUND(I43*LN(J43+1),1),""))</x:f>
        <x:v>20.7</x:v>
      </x:c>
      <x:c r="L43" s="2" t="str">
        <x:f>IF(K43="","Sem dados - qualificar",IF(K43&gt;=15,"A - Alta",IF(K43&gt;=8,"B - Média","C - Baixa")))</x:f>
        <x:v>A - Alta</x:v>
      </x:c>
      <x:c r="M43" s="2" t="inlineStr">
        <x:is>
          <x:t xml:space="preserve">Não contatado</x:t>
        </x:is>
      </x:c>
      <x:c r="N43" s="3" t="inlineStr">
        <x:is>
          <x:t xml:space="preserve"/>
        </x:is>
      </x:c>
      <x:c r="O43" s="3" t="inlineStr">
        <x:is>
          <x:t xml:space="preserve"/>
        </x:is>
      </x:c>
      <x:c r="P43" s="26" t="str"/>
      <x:c r="Q43" s="3" t="inlineStr">
        <x:is>
          <x:t xml:space="preserve"/>
        </x:is>
      </x:c>
      <x:c r="R43" s="5" t="n"/>
      <x:c r="S43" s="3" t="inlineStr">
        <x:is>
          <x:t xml:space="preserve"/>
        </x:is>
      </x:c>
      <x:c r="T43" s="3" t="inlineStr">
        <x:is>
          <x:t xml:space="preserve"/>
        </x:is>
      </x:c>
      <x:c r="U43" s="26" t="str">
        <x:v>Não localizado em fonte pública confiável até 24/07/2026</x:v>
      </x:c>
    </x:row>
    <x:row r="44">
      <x:c r="A44" s="2" t="n">
        <x:v>43</x:v>
      </x:c>
      <x:c r="B44" s="3" t="inlineStr">
        <x:is>
          <x:t xml:space="preserve">RC Vedações</x:t>
        </x:is>
      </x:c>
      <x:c r="C44" s="3" t="inlineStr">
        <x:is>
          <x:t xml:space="preserve">Fabricante/Vedações</x:t>
        </x:is>
      </x:c>
      <x:c r="D44" s="3" t="inlineStr">
        <x:is>
          <x:t xml:space="preserve">Bauru</x:t>
        </x:is>
      </x:c>
      <x:c r="E44" s="2" t="inlineStr">
        <x:is>
          <x:t xml:space="preserve">SP</x:t>
        </x:is>
      </x:c>
      <x:c r="F44" s="2" t="inlineStr">
        <x:is>
          <x:t xml:space="preserve">Sudeste</x:t>
        </x:is>
      </x:c>
      <x:c r="G44" s="3" t="inlineStr">
        <x:is>
          <x:t xml:space="preserve">+55 14 3206-9390</x:t>
        </x:is>
      </x:c>
      <x:c r="H44" s="3" t="inlineStr">
        <x:is>
          <x:t xml:space="preserve">R. Marcondes Salgado, 17-71 - Vila Cardia</x:t>
        </x:is>
      </x:c>
      <x:c r="I44" s="4" t="n"/>
      <x:c r="J44" s="2" t="n"/>
      <x:c r="K44" s="2" t="str">
        <x:f>IF(OR(I44="",J44=""),"",IFERROR(ROUND(I44*LN(J44+1),1),""))</x:f>
      </x:c>
      <x:c r="L44" s="2" t="str">
        <x:f>IF(K44="","Sem dados - qualificar",IF(K44&gt;=15,"A - Alta",IF(K44&gt;=8,"B - Média","C - Baixa")))</x:f>
        <x:v>Sem dados - qualificar</x:v>
      </x:c>
      <x:c r="M44" s="2" t="inlineStr">
        <x:is>
          <x:t xml:space="preserve">Não contatado</x:t>
        </x:is>
      </x:c>
      <x:c r="N44" s="3" t="inlineStr">
        <x:is>
          <x:t xml:space="preserve"/>
        </x:is>
      </x:c>
      <x:c r="O44" s="3" t="inlineStr">
        <x:is>
          <x:t xml:space="preserve"/>
        </x:is>
      </x:c>
      <x:c r="P44" s="26" t="str">
        <x:v>rcvedacoes@hotmail.com</x:v>
      </x:c>
      <x:c r="Q44" s="3" t="inlineStr">
        <x:is>
          <x:t xml:space="preserve"/>
        </x:is>
      </x:c>
      <x:c r="R44" s="5" t="n"/>
      <x:c r="S44" s="3" t="inlineStr">
        <x:is>
          <x:t xml:space="preserve"/>
        </x:is>
      </x:c>
      <x:c r="T44" s="3" t="inlineStr">
        <x:is>
          <x:t xml:space="preserve"/>
        </x:is>
      </x:c>
      <x:c r="U44" s="26" t="str">
        <x:v>https://www.solutudo.com.br/empresas/sp/bauru/industrias/rc-vedacoes-224474</x:v>
      </x:c>
    </x:row>
    <x:row r="45">
      <x:c r="A45" s="2" t="n">
        <x:v>44</x:v>
      </x:c>
      <x:c r="B45" s="3" t="inlineStr">
        <x:is>
          <x:t xml:space="preserve">Ved Ben Vedações Industriais</x:t>
        </x:is>
      </x:c>
      <x:c r="C45" s="3" t="inlineStr">
        <x:is>
          <x:t xml:space="preserve">Vedações</x:t>
        </x:is>
      </x:c>
      <x:c r="D45" s="3" t="inlineStr">
        <x:is>
          <x:t xml:space="preserve">Bauru</x:t>
        </x:is>
      </x:c>
      <x:c r="E45" s="2" t="inlineStr">
        <x:is>
          <x:t xml:space="preserve">SP</x:t>
        </x:is>
      </x:c>
      <x:c r="F45" s="2" t="inlineStr">
        <x:is>
          <x:t xml:space="preserve">Sudeste</x:t>
        </x:is>
      </x:c>
      <x:c r="G45" s="3" t="inlineStr">
        <x:is>
          <x:t xml:space="preserve">+55 14 3234-7266</x:t>
        </x:is>
      </x:c>
      <x:c r="H45" s="3" t="inlineStr">
        <x:is>
          <x:t xml:space="preserve">Av. Duque de Caxias, 18 - Vila Cardia</x:t>
        </x:is>
      </x:c>
      <x:c r="I45" s="4" t="n">
        <x:v>4.3</x:v>
      </x:c>
      <x:c r="J45" s="2" t="n">
        <x:v>17</x:v>
      </x:c>
      <x:c r="K45" s="2" t="n">
        <x:f>IF(OR(I45="",J45=""),"",IFERROR(ROUND(I45*LN(J45+1),1),""))</x:f>
        <x:v>12.4</x:v>
      </x:c>
      <x:c r="L45" s="2" t="str">
        <x:f>IF(K45="","Sem dados - qualificar",IF(K45&gt;=15,"A - Alta",IF(K45&gt;=8,"B - Média","C - Baixa")))</x:f>
        <x:v>B - Média</x:v>
      </x:c>
      <x:c r="M45" s="2" t="inlineStr">
        <x:is>
          <x:t xml:space="preserve">Não contatado</x:t>
        </x:is>
      </x:c>
      <x:c r="N45" s="3" t="inlineStr">
        <x:is>
          <x:t xml:space="preserve"/>
        </x:is>
      </x:c>
      <x:c r="O45" s="3" t="inlineStr">
        <x:is>
          <x:t xml:space="preserve"/>
        </x:is>
      </x:c>
      <x:c r="P45" s="26" t="str">
        <x:v>vendas@vedben.com.br</x:v>
      </x:c>
      <x:c r="Q45" s="3" t="inlineStr">
        <x:is>
          <x:t xml:space="preserve"/>
        </x:is>
      </x:c>
      <x:c r="R45" s="5" t="n"/>
      <x:c r="S45" s="3" t="inlineStr">
        <x:is>
          <x:t xml:space="preserve"/>
        </x:is>
      </x:c>
      <x:c r="T45" s="3" t="inlineStr">
        <x:is>
          <x:t xml:space="preserve"/>
        </x:is>
      </x:c>
      <x:c r="U45" s="26" t="str">
        <x:v>https://vedben.com.br/</x:v>
      </x:c>
    </x:row>
    <x:row r="46">
      <x:c r="A46" s="2" t="n">
        <x:v>45</x:v>
      </x:c>
      <x:c r="B46" s="3" t="inlineStr">
        <x:is>
          <x:t xml:space="preserve">CHP Componentes Hidráulicos</x:t>
        </x:is>
      </x:c>
      <x:c r="C46" s="3" t="inlineStr">
        <x:is>
          <x:t xml:space="preserve">Hidráulica</x:t>
        </x:is>
      </x:c>
      <x:c r="D46" s="3" t="inlineStr">
        <x:is>
          <x:t xml:space="preserve">Campinas</x:t>
        </x:is>
      </x:c>
      <x:c r="E46" s="2" t="inlineStr">
        <x:is>
          <x:t xml:space="preserve">SP</x:t>
        </x:is>
      </x:c>
      <x:c r="F46" s="2" t="inlineStr">
        <x:is>
          <x:t xml:space="preserve">Sudeste</x:t>
        </x:is>
      </x:c>
      <x:c r="G46" s="3" t="inlineStr">
        <x:is>
          <x:t xml:space="preserve">+55 19 3772-8888</x:t>
        </x:is>
      </x:c>
      <x:c r="H46" s="3" t="inlineStr">
        <x:is>
          <x:t xml:space="preserve">R. Benígno Ribeiro, 366 - São Bernardo</x:t>
        </x:is>
      </x:c>
      <x:c r="I46" s="4" t="n">
        <x:v>2.6</x:v>
      </x:c>
      <x:c r="J46" s="2" t="n">
        <x:v>23</x:v>
      </x:c>
      <x:c r="K46" s="2" t="n">
        <x:f>IF(OR(I46="",J46=""),"",IFERROR(ROUND(I46*LN(J46+1),1),""))</x:f>
        <x:v>8.3</x:v>
      </x:c>
      <x:c r="L46" s="2" t="str">
        <x:f>IF(K46="","Sem dados - qualificar",IF(K46&gt;=15,"A - Alta",IF(K46&gt;=8,"B - Média","C - Baixa")))</x:f>
        <x:v>B - Média</x:v>
      </x:c>
      <x:c r="M46" s="2" t="inlineStr">
        <x:is>
          <x:t xml:space="preserve">Não contatado</x:t>
        </x:is>
      </x:c>
      <x:c r="N46" s="3" t="inlineStr">
        <x:is>
          <x:t xml:space="preserve"/>
        </x:is>
      </x:c>
      <x:c r="O46" s="3" t="inlineStr">
        <x:is>
          <x:t xml:space="preserve"/>
        </x:is>
      </x:c>
      <x:c r="P46" s="26" t="str">
        <x:v>chpmkthidraulica@gmail.com</x:v>
      </x:c>
      <x:c r="Q46" s="3" t="inlineStr">
        <x:is>
          <x:t xml:space="preserve"/>
        </x:is>
      </x:c>
      <x:c r="R46" s="5" t="n"/>
      <x:c r="S46" s="3" t="inlineStr">
        <x:is>
          <x:t xml:space="preserve"/>
        </x:is>
      </x:c>
      <x:c r="T46" s="3" t="inlineStr">
        <x:is>
          <x:t xml:space="preserve"/>
        </x:is>
      </x:c>
      <x:c r="U46" s="26" t="str">
        <x:v>https://www.facebook.com/chpcentralhidraulicaepneumatica/</x:v>
      </x:c>
    </x:row>
    <x:row r="47">
      <x:c r="A47" s="2" t="n">
        <x:v>46</x:v>
      </x:c>
      <x:c r="B47" s="3" t="inlineStr">
        <x:is>
          <x:t xml:space="preserve">Componentes Comércio de Pneumática (IMI Norgren)</x:t>
        </x:is>
      </x:c>
      <x:c r="C47" s="3" t="inlineStr">
        <x:is>
          <x:t xml:space="preserve">Pneumática</x:t>
        </x:is>
      </x:c>
      <x:c r="D47" s="3" t="inlineStr">
        <x:is>
          <x:t xml:space="preserve">Campinas</x:t>
        </x:is>
      </x:c>
      <x:c r="E47" s="2" t="inlineStr">
        <x:is>
          <x:t xml:space="preserve">SP</x:t>
        </x:is>
      </x:c>
      <x:c r="F47" s="2" t="inlineStr">
        <x:is>
          <x:t xml:space="preserve">Sudeste</x:t>
        </x:is>
      </x:c>
      <x:c r="G47" s="3" t="inlineStr">
        <x:is>
          <x:t xml:space="preserve">+55 19 99919-2750</x:t>
        </x:is>
      </x:c>
      <x:c r="H47" s="3" t="inlineStr">
        <x:is>
          <x:t xml:space="preserve">Av. Andrade Neves, 1970 - Jd. Chapadão</x:t>
        </x:is>
      </x:c>
      <x:c r="I47" s="4" t="n">
        <x:v>4.6</x:v>
      </x:c>
      <x:c r="J47" s="2" t="n">
        <x:v>10</x:v>
      </x:c>
      <x:c r="K47" s="2" t="n">
        <x:f>IF(OR(I47="",J47=""),"",IFERROR(ROUND(I47*LN(J47+1),1),""))</x:f>
        <x:v>11</x:v>
      </x:c>
      <x:c r="L47" s="2" t="str">
        <x:f>IF(K47="","Sem dados - qualificar",IF(K47&gt;=15,"A - Alta",IF(K47&gt;=8,"B - Média","C - Baixa")))</x:f>
        <x:v>B - Média</x:v>
      </x:c>
      <x:c r="M47" s="2" t="inlineStr">
        <x:is>
          <x:t xml:space="preserve">Não contatado</x:t>
        </x:is>
      </x:c>
      <x:c r="N47" s="3" t="inlineStr">
        <x:is>
          <x:t xml:space="preserve"/>
        </x:is>
      </x:c>
      <x:c r="O47" s="3" t="inlineStr">
        <x:is>
          <x:t xml:space="preserve"/>
        </x:is>
      </x:c>
      <x:c r="P47" s="26" t="str">
        <x:v>info@cpcomponentes.com.br</x:v>
      </x:c>
      <x:c r="Q47" s="3" t="inlineStr">
        <x:is>
          <x:t xml:space="preserve"/>
        </x:is>
      </x:c>
      <x:c r="R47" s="5" t="n"/>
      <x:c r="S47" s="3" t="inlineStr">
        <x:is>
          <x:t xml:space="preserve"/>
        </x:is>
      </x:c>
      <x:c r="T47" s="3" t="inlineStr">
        <x:is>
          <x:t xml:space="preserve"/>
        </x:is>
      </x:c>
      <x:c r="U47" s="26" t="str">
        <x:v>https://cpcomponentes.com.br/empresa/</x:v>
      </x:c>
    </x:row>
    <x:row r="48">
      <x:c r="A48" s="2" t="n">
        <x:v>47</x:v>
      </x:c>
      <x:c r="B48" s="3" t="inlineStr">
        <x:is>
          <x:t xml:space="preserve">Dynamic Comércio de Hidráulica e Pneumática</x:t>
        </x:is>
      </x:c>
      <x:c r="C48" s="3" t="inlineStr">
        <x:is>
          <x:t xml:space="preserve">Hidráulica/Pneumática</x:t>
        </x:is>
      </x:c>
      <x:c r="D48" s="3" t="inlineStr">
        <x:is>
          <x:t xml:space="preserve">Campinas</x:t>
        </x:is>
      </x:c>
      <x:c r="E48" s="2" t="inlineStr">
        <x:is>
          <x:t xml:space="preserve">SP</x:t>
        </x:is>
      </x:c>
      <x:c r="F48" s="2" t="inlineStr">
        <x:is>
          <x:t xml:space="preserve">Sudeste</x:t>
        </x:is>
      </x:c>
      <x:c r="G48" s="3" t="inlineStr">
        <x:is>
          <x:t xml:space="preserve">+55 19 3273-0007</x:t>
        </x:is>
      </x:c>
      <x:c r="H48" s="3" t="inlineStr">
        <x:is>
          <x:t xml:space="preserve">R. Souza Brito, 48 - Jd. do Trevo</x:t>
        </x:is>
      </x:c>
      <x:c r="I48" s="4" t="n">
        <x:v>4</x:v>
      </x:c>
      <x:c r="J48" s="2" t="n">
        <x:v>27</x:v>
      </x:c>
      <x:c r="K48" s="2" t="n">
        <x:f>IF(OR(I48="",J48=""),"",IFERROR(ROUND(I48*LN(J48+1),1),""))</x:f>
        <x:v>13.3</x:v>
      </x:c>
      <x:c r="L48" s="2" t="str">
        <x:f>IF(K48="","Sem dados - qualificar",IF(K48&gt;=15,"A - Alta",IF(K48&gt;=8,"B - Média","C - Baixa")))</x:f>
        <x:v>B - Média</x:v>
      </x:c>
      <x:c r="M48" s="2" t="inlineStr">
        <x:is>
          <x:t xml:space="preserve">Não contatado</x:t>
        </x:is>
      </x:c>
      <x:c r="N48" s="3" t="inlineStr">
        <x:is>
          <x:t xml:space="preserve"/>
        </x:is>
      </x:c>
      <x:c r="O48" s="3" t="inlineStr">
        <x:is>
          <x:t xml:space="preserve"/>
        </x:is>
      </x:c>
      <x:c r="P48" s="26" t="str">
        <x:v>contato@dynamichp.com.br</x:v>
      </x:c>
      <x:c r="Q48" s="3" t="inlineStr">
        <x:is>
          <x:t xml:space="preserve"/>
        </x:is>
      </x:c>
      <x:c r="R48" s="5" t="n"/>
      <x:c r="S48" s="3" t="inlineStr">
        <x:is>
          <x:t xml:space="preserve"/>
        </x:is>
      </x:c>
      <x:c r="T48" s="3" t="inlineStr">
        <x:is>
          <x:t xml:space="preserve"/>
        </x:is>
      </x:c>
      <x:c r="U48" s="26" t="str">
        <x:v>https://cnpjcheck.com.br/empresa/pdf/04886619000104</x:v>
      </x:c>
    </x:row>
    <x:row r="49">
      <x:c r="A49" s="2" t="n">
        <x:v>48</x:v>
      </x:c>
      <x:c r="B49" s="3" t="inlineStr">
        <x:is>
          <x:t xml:space="preserve">G.S.O &amp; Vedacentro</x:t>
        </x:is>
      </x:c>
      <x:c r="C49" s="3" t="inlineStr">
        <x:is>
          <x:t xml:space="preserve">Fabricante/Vedações</x:t>
        </x:is>
      </x:c>
      <x:c r="D49" s="3" t="inlineStr">
        <x:is>
          <x:t xml:space="preserve">Campinas</x:t>
        </x:is>
      </x:c>
      <x:c r="E49" s="2" t="inlineStr">
        <x:is>
          <x:t xml:space="preserve">SP</x:t>
        </x:is>
      </x:c>
      <x:c r="F49" s="2" t="inlineStr">
        <x:is>
          <x:t xml:space="preserve">Sudeste</x:t>
        </x:is>
      </x:c>
      <x:c r="G49" s="3" t="inlineStr">
        <x:is>
          <x:t xml:space="preserve">+55 19 3765-8100</x:t>
        </x:is>
      </x:c>
      <x:c r="H49" s="3" t="inlineStr">
        <x:is>
          <x:t xml:space="preserve">R. Vitório Chinaglia, 36 - Pq. São Paulo</x:t>
        </x:is>
      </x:c>
      <x:c r="I49" s="4" t="n">
        <x:v>5</x:v>
      </x:c>
      <x:c r="J49" s="2" t="n">
        <x:v>1</x:v>
      </x:c>
      <x:c r="K49" s="2" t="n">
        <x:f>IF(OR(I49="",J49=""),"",IFERROR(ROUND(I49*LN(J49+1),1),""))</x:f>
        <x:v>3.5</x:v>
      </x:c>
      <x:c r="L49" s="2" t="str">
        <x:f>IF(K49="","Sem dados - qualificar",IF(K49&gt;=15,"A - Alta",IF(K49&gt;=8,"B - Média","C - Baixa")))</x:f>
        <x:v>C - Baixa</x:v>
      </x:c>
      <x:c r="M49" s="2" t="inlineStr">
        <x:is>
          <x:t xml:space="preserve">Não contatado</x:t>
        </x:is>
      </x:c>
      <x:c r="N49" s="3" t="inlineStr">
        <x:is>
          <x:t xml:space="preserve"/>
        </x:is>
      </x:c>
      <x:c r="O49" s="3" t="inlineStr">
        <x:is>
          <x:t xml:space="preserve"/>
        </x:is>
      </x:c>
      <x:c r="P49" s="26" t="str"/>
      <x:c r="Q49" s="3" t="inlineStr">
        <x:is>
          <x:t xml:space="preserve"/>
        </x:is>
      </x:c>
      <x:c r="R49" s="5" t="n"/>
      <x:c r="S49" s="3" t="inlineStr">
        <x:is>
          <x:t xml:space="preserve"/>
        </x:is>
      </x:c>
      <x:c r="T49" s="3" t="inlineStr">
        <x:is>
          <x:t xml:space="preserve"/>
        </x:is>
      </x:c>
      <x:c r="U49" s="26" t="str">
        <x:v>Não localizado em fonte pública confiável até 24/07/2026</x:v>
      </x:c>
    </x:row>
    <x:row r="50">
      <x:c r="A50" s="2" t="n">
        <x:v>49</x:v>
      </x:c>
      <x:c r="B50" s="3" t="inlineStr">
        <x:is>
          <x:t xml:space="preserve">GCM Vedações e Acessórios Industriais</x:t>
        </x:is>
      </x:c>
      <x:c r="C50" s="3" t="inlineStr">
        <x:is>
          <x:t xml:space="preserve">Vedações</x:t>
        </x:is>
      </x:c>
      <x:c r="D50" s="3" t="inlineStr">
        <x:is>
          <x:t xml:space="preserve">Campinas</x:t>
        </x:is>
      </x:c>
      <x:c r="E50" s="2" t="inlineStr">
        <x:is>
          <x:t xml:space="preserve">SP</x:t>
        </x:is>
      </x:c>
      <x:c r="F50" s="2" t="inlineStr">
        <x:is>
          <x:t xml:space="preserve">Sudeste</x:t>
        </x:is>
      </x:c>
      <x:c r="G50" s="3" t="inlineStr">
        <x:is>
          <x:t xml:space="preserve">+55 19 3272-4250</x:t>
        </x:is>
      </x:c>
      <x:c r="H50" s="3" t="inlineStr">
        <x:is>
          <x:t xml:space="preserve">Av. Dr. Carlos de Campos, 18 - Vila Industrial</x:t>
        </x:is>
      </x:c>
      <x:c r="I50" s="4" t="n">
        <x:v>4</x:v>
      </x:c>
      <x:c r="J50" s="2" t="n">
        <x:v>4</x:v>
      </x:c>
      <x:c r="K50" s="2" t="n">
        <x:f>IF(OR(I50="",J50=""),"",IFERROR(ROUND(I50*LN(J50+1),1),""))</x:f>
        <x:v>6.4</x:v>
      </x:c>
      <x:c r="L50" s="2" t="str">
        <x:f>IF(K50="","Sem dados - qualificar",IF(K50&gt;=15,"A - Alta",IF(K50&gt;=8,"B - Média","C - Baixa")))</x:f>
        <x:v>C - Baixa</x:v>
      </x:c>
      <x:c r="M50" s="2" t="inlineStr">
        <x:is>
          <x:t xml:space="preserve">Não contatado</x:t>
        </x:is>
      </x:c>
      <x:c r="N50" s="3" t="inlineStr">
        <x:is>
          <x:t xml:space="preserve"/>
        </x:is>
      </x:c>
      <x:c r="O50" s="3" t="inlineStr">
        <x:is>
          <x:t xml:space="preserve"/>
        </x:is>
      </x:c>
      <x:c r="P50" s="26" t="str"/>
      <x:c r="Q50" s="3" t="inlineStr">
        <x:is>
          <x:t xml:space="preserve"/>
        </x:is>
      </x:c>
      <x:c r="R50" s="5" t="n"/>
      <x:c r="S50" s="3" t="inlineStr">
        <x:is>
          <x:t xml:space="preserve"/>
        </x:is>
      </x:c>
      <x:c r="T50" s="3" t="inlineStr">
        <x:is>
          <x:t xml:space="preserve"/>
        </x:is>
      </x:c>
      <x:c r="U50" s="26" t="str">
        <x:v>Não localizado em fonte pública confiável até 24/07/2026</x:v>
      </x:c>
    </x:row>
    <x:row r="51">
      <x:c r="A51" s="2" t="n">
        <x:v>50</x:v>
      </x:c>
      <x:c r="B51" s="3" t="inlineStr">
        <x:is>
          <x:t xml:space="preserve">J.E. Vedações</x:t>
        </x:is>
      </x:c>
      <x:c r="C51" s="3" t="inlineStr">
        <x:is>
          <x:t xml:space="preserve">Vedações</x:t>
        </x:is>
      </x:c>
      <x:c r="D51" s="3" t="inlineStr">
        <x:is>
          <x:t xml:space="preserve">Campinas</x:t>
        </x:is>
      </x:c>
      <x:c r="E51" s="2" t="inlineStr">
        <x:is>
          <x:t xml:space="preserve">SP</x:t>
        </x:is>
      </x:c>
      <x:c r="F51" s="2" t="inlineStr">
        <x:is>
          <x:t xml:space="preserve">Sudeste</x:t>
        </x:is>
      </x:c>
      <x:c r="G51" s="3" t="inlineStr">
        <x:is>
          <x:t xml:space="preserve">+55 19 3045-3200</x:t>
        </x:is>
      </x:c>
      <x:c r="H51" s="3" t="inlineStr">
        <x:is>
          <x:t xml:space="preserve">R. Antônio R. de Carvalho, 1765</x:t>
        </x:is>
      </x:c>
      <x:c r="I51" s="4" t="n">
        <x:v>3</x:v>
      </x:c>
      <x:c r="J51" s="2" t="n">
        <x:v>4</x:v>
      </x:c>
      <x:c r="K51" s="2" t="n">
        <x:f>IF(OR(I51="",J51=""),"",IFERROR(ROUND(I51*LN(J51+1),1),""))</x:f>
        <x:v>4.8</x:v>
      </x:c>
      <x:c r="L51" s="2" t="str">
        <x:f>IF(K51="","Sem dados - qualificar",IF(K51&gt;=15,"A - Alta",IF(K51&gt;=8,"B - Média","C - Baixa")))</x:f>
        <x:v>C - Baixa</x:v>
      </x:c>
      <x:c r="M51" s="2" t="inlineStr">
        <x:is>
          <x:t xml:space="preserve">Não contatado</x:t>
        </x:is>
      </x:c>
      <x:c r="N51" s="3" t="inlineStr">
        <x:is>
          <x:t xml:space="preserve"/>
        </x:is>
      </x:c>
      <x:c r="O51" s="3" t="inlineStr">
        <x:is>
          <x:t xml:space="preserve"/>
        </x:is>
      </x:c>
      <x:c r="P51" s="26" t="str">
        <x:v>faleconosco@jevedacoes.com.br</x:v>
      </x:c>
      <x:c r="Q51" s="3" t="inlineStr">
        <x:is>
          <x:t xml:space="preserve"/>
        </x:is>
      </x:c>
      <x:c r="R51" s="5" t="n"/>
      <x:c r="S51" s="3" t="inlineStr">
        <x:is>
          <x:t xml:space="preserve"/>
        </x:is>
      </x:c>
      <x:c r="T51" s="3" t="inlineStr">
        <x:is>
          <x:t xml:space="preserve"/>
        </x:is>
      </x:c>
      <x:c r="U51" s="26" t="str">
        <x:v>https://www.jevedacoes.com.br/</x:v>
      </x:c>
    </x:row>
    <x:row r="52">
      <x:c r="A52" s="2" t="n">
        <x:v>51</x:v>
      </x:c>
      <x:c r="B52" s="3" t="inlineStr">
        <x:is>
          <x:t xml:space="preserve">JSL Equipamentos Hidráulicos</x:t>
        </x:is>
      </x:c>
      <x:c r="C52" s="3" t="inlineStr">
        <x:is>
          <x:t xml:space="preserve">Hidráulica/Vedações</x:t>
        </x:is>
      </x:c>
      <x:c r="D52" s="3" t="inlineStr">
        <x:is>
          <x:t xml:space="preserve">Campinas</x:t>
        </x:is>
      </x:c>
      <x:c r="E52" s="2" t="inlineStr">
        <x:is>
          <x:t xml:space="preserve">SP</x:t>
        </x:is>
      </x:c>
      <x:c r="F52" s="2" t="inlineStr">
        <x:is>
          <x:t xml:space="preserve">Sudeste</x:t>
        </x:is>
      </x:c>
      <x:c r="G52" s="3" t="inlineStr">
        <x:is>
          <x:t xml:space="preserve">+55 19 3238-9000</x:t>
        </x:is>
      </x:c>
      <x:c r="H52" s="3" t="inlineStr">
        <x:is>
          <x:t xml:space="preserve">Av. Joaquim Payolla, 1356 - Pq. da Figueira</x:t>
        </x:is>
      </x:c>
      <x:c r="I52" s="4" t="n">
        <x:v>4.8</x:v>
      </x:c>
      <x:c r="J52" s="2" t="n">
        <x:v>23</x:v>
      </x:c>
      <x:c r="K52" s="2" t="n">
        <x:f>IF(OR(I52="",J52=""),"",IFERROR(ROUND(I52*LN(J52+1),1),""))</x:f>
        <x:v>15.3</x:v>
      </x:c>
      <x:c r="L52" s="2" t="str">
        <x:f>IF(K52="","Sem dados - qualificar",IF(K52&gt;=15,"A - Alta",IF(K52&gt;=8,"B - Média","C - Baixa")))</x:f>
        <x:v>A - Alta</x:v>
      </x:c>
      <x:c r="M52" s="2" t="inlineStr">
        <x:is>
          <x:t xml:space="preserve">Não contatado</x:t>
        </x:is>
      </x:c>
      <x:c r="N52" s="3" t="inlineStr">
        <x:is>
          <x:t xml:space="preserve"/>
        </x:is>
      </x:c>
      <x:c r="O52" s="3" t="inlineStr">
        <x:is>
          <x:t xml:space="preserve"/>
        </x:is>
      </x:c>
      <x:c r="P52" s="26" t="str"/>
      <x:c r="Q52" s="3" t="inlineStr">
        <x:is>
          <x:t xml:space="preserve"/>
        </x:is>
      </x:c>
      <x:c r="R52" s="5" t="n"/>
      <x:c r="S52" s="3" t="inlineStr">
        <x:is>
          <x:t xml:space="preserve"/>
        </x:is>
      </x:c>
      <x:c r="T52" s="3" t="inlineStr">
        <x:is>
          <x:t xml:space="preserve"/>
        </x:is>
      </x:c>
      <x:c r="U52" s="26" t="str">
        <x:v>Não localizado em fonte pública confiável até 24/07/2026</x:v>
      </x:c>
    </x:row>
    <x:row r="53">
      <x:c r="A53" s="2" t="n">
        <x:v>52</x:v>
      </x:c>
      <x:c r="B53" s="3" t="inlineStr">
        <x:is>
          <x:t xml:space="preserve">Parcamp - Distribuidor Parker</x:t>
        </x:is>
      </x:c>
      <x:c r="C53" s="3" t="inlineStr">
        <x:is>
          <x:t xml:space="preserve">Hidráulica/Vedações</x:t>
        </x:is>
      </x:c>
      <x:c r="D53" s="3" t="inlineStr">
        <x:is>
          <x:t xml:space="preserve">Campinas</x:t>
        </x:is>
      </x:c>
      <x:c r="E53" s="2" t="inlineStr">
        <x:is>
          <x:t xml:space="preserve">SP</x:t>
        </x:is>
      </x:c>
      <x:c r="F53" s="2" t="inlineStr">
        <x:is>
          <x:t xml:space="preserve">Sudeste</x:t>
        </x:is>
      </x:c>
      <x:c r="G53" s="3" t="inlineStr">
        <x:is>
          <x:t xml:space="preserve">+55 19 2514-0022</x:t>
        </x:is>
      </x:c>
      <x:c r="H53" s="3" t="inlineStr">
        <x:is>
          <x:t xml:space="preserve">R. Pirangi, 155 - Jd. do Trevo</x:t>
        </x:is>
      </x:c>
      <x:c r="I53" s="4" t="n">
        <x:v>4.4</x:v>
      </x:c>
      <x:c r="J53" s="2" t="n">
        <x:v>14</x:v>
      </x:c>
      <x:c r="K53" s="2" t="n">
        <x:f>IF(OR(I53="",J53=""),"",IFERROR(ROUND(I53*LN(J53+1),1),""))</x:f>
        <x:v>11.9</x:v>
      </x:c>
      <x:c r="L53" s="2" t="str">
        <x:f>IF(K53="","Sem dados - qualificar",IF(K53&gt;=15,"A - Alta",IF(K53&gt;=8,"B - Média","C - Baixa")))</x:f>
        <x:v>B - Média</x:v>
      </x:c>
      <x:c r="M53" s="2" t="inlineStr">
        <x:is>
          <x:t xml:space="preserve">Não contatado</x:t>
        </x:is>
      </x:c>
      <x:c r="N53" s="3" t="inlineStr">
        <x:is>
          <x:t xml:space="preserve"/>
        </x:is>
      </x:c>
      <x:c r="O53" s="3" t="inlineStr">
        <x:is>
          <x:t xml:space="preserve"/>
        </x:is>
      </x:c>
      <x:c r="P53" s="26" t="str">
        <x:v>vendas@parcamp.com.br</x:v>
      </x:c>
      <x:c r="Q53" s="3" t="inlineStr">
        <x:is>
          <x:t xml:space="preserve"/>
        </x:is>
      </x:c>
      <x:c r="R53" s="5" t="n"/>
      <x:c r="S53" s="3" t="inlineStr">
        <x:is>
          <x:t xml:space="preserve"/>
        </x:is>
      </x:c>
      <x:c r="T53" s="3" t="inlineStr">
        <x:is>
          <x:t xml:space="preserve"/>
        </x:is>
      </x:c>
      <x:c r="U53" s="26" t="str">
        <x:v>https://www.facebook.com/parcampparker/</x:v>
      </x:c>
    </x:row>
    <x:row r="54">
      <x:c r="A54" s="2" t="n">
        <x:v>53</x:v>
      </x:c>
      <x:c r="B54" s="3" t="inlineStr">
        <x:is>
          <x:t xml:space="preserve">Retenfix Indústria de Vedações</x:t>
        </x:is>
      </x:c>
      <x:c r="C54" s="3" t="inlineStr">
        <x:is>
          <x:t xml:space="preserve">Fabricante/Vedações</x:t>
        </x:is>
      </x:c>
      <x:c r="D54" s="3" t="inlineStr">
        <x:is>
          <x:t xml:space="preserve">Campinas</x:t>
        </x:is>
      </x:c>
      <x:c r="E54" s="2" t="inlineStr">
        <x:is>
          <x:t xml:space="preserve">SP</x:t>
        </x:is>
      </x:c>
      <x:c r="F54" s="2" t="inlineStr">
        <x:is>
          <x:t xml:space="preserve">Sudeste</x:t>
        </x:is>
      </x:c>
      <x:c r="G54" s="3" t="inlineStr">
        <x:is>
          <x:t xml:space="preserve">+55 19 2127-1300</x:t>
        </x:is>
      </x:c>
      <x:c r="H54" s="3" t="inlineStr">
        <x:is>
          <x:t xml:space="preserve">R. Saíde Azar Bittar, 152 - Pq. Via Norte</x:t>
        </x:is>
      </x:c>
      <x:c r="I54" s="4" t="n">
        <x:v>4.6</x:v>
      </x:c>
      <x:c r="J54" s="2" t="n">
        <x:v>189</x:v>
      </x:c>
      <x:c r="K54" s="2" t="n">
        <x:f>IF(OR(I54="",J54=""),"",IFERROR(ROUND(I54*LN(J54+1),1),""))</x:f>
        <x:v>24.1</x:v>
      </x:c>
      <x:c r="L54" s="2" t="str">
        <x:f>IF(K54="","Sem dados - qualificar",IF(K54&gt;=15,"A - Alta",IF(K54&gt;=8,"B - Média","C - Baixa")))</x:f>
        <x:v>A - Alta</x:v>
      </x:c>
      <x:c r="M54" s="2" t="inlineStr">
        <x:is>
          <x:t xml:space="preserve">Não contatado</x:t>
        </x:is>
      </x:c>
      <x:c r="N54" s="3" t="inlineStr">
        <x:is>
          <x:t xml:space="preserve"/>
        </x:is>
      </x:c>
      <x:c r="O54" s="3" t="inlineStr">
        <x:is>
          <x:t xml:space="preserve"/>
        </x:is>
      </x:c>
      <x:c r="P54" s="26" t="str">
        <x:v>campinas@retenfixcampinas.com.br</x:v>
      </x:c>
      <x:c r="Q54" s="3" t="inlineStr">
        <x:is>
          <x:t xml:space="preserve"/>
        </x:is>
      </x:c>
      <x:c r="R54" s="5" t="n"/>
      <x:c r="S54" s="3" t="inlineStr">
        <x:is>
          <x:t xml:space="preserve"/>
        </x:is>
      </x:c>
      <x:c r="T54" s="3" t="inlineStr">
        <x:is>
          <x:t xml:space="preserve"/>
        </x:is>
      </x:c>
      <x:c r="U54" s="26" t="str">
        <x:v>https://retenfix.com.br/contato/</x:v>
      </x:c>
    </x:row>
    <x:row r="55">
      <x:c r="A55" s="2" t="n">
        <x:v>54</x:v>
      </x:c>
      <x:c r="B55" s="3" t="inlineStr">
        <x:is>
          <x:t xml:space="preserve">Rope Automação Pneumática</x:t>
        </x:is>
      </x:c>
      <x:c r="C55" s="3" t="inlineStr">
        <x:is>
          <x:t xml:space="preserve">Pneumática</x:t>
        </x:is>
      </x:c>
      <x:c r="D55" s="3" t="inlineStr">
        <x:is>
          <x:t xml:space="preserve">Campinas</x:t>
        </x:is>
      </x:c>
      <x:c r="E55" s="2" t="inlineStr">
        <x:is>
          <x:t xml:space="preserve">SP</x:t>
        </x:is>
      </x:c>
      <x:c r="F55" s="2" t="inlineStr">
        <x:is>
          <x:t xml:space="preserve">Sudeste</x:t>
        </x:is>
      </x:c>
      <x:c r="G55" s="3" t="inlineStr">
        <x:is>
          <x:t xml:space="preserve">+55 19 3241-7342</x:t>
        </x:is>
      </x:c>
      <x:c r="H55" s="3" t="inlineStr">
        <x:is>
          <x:t xml:space="preserve">Av. Andrade Neves, 1970 - Jd. Chapadão</x:t>
        </x:is>
      </x:c>
      <x:c r="I55" s="4" t="n">
        <x:v>5</x:v>
      </x:c>
      <x:c r="J55" s="2" t="n">
        <x:v>6</x:v>
      </x:c>
      <x:c r="K55" s="2" t="n">
        <x:f>IF(OR(I55="",J55=""),"",IFERROR(ROUND(I55*LN(J55+1),1),""))</x:f>
        <x:v>9.7</x:v>
      </x:c>
      <x:c r="L55" s="2" t="str">
        <x:f>IF(K55="","Sem dados - qualificar",IF(K55&gt;=15,"A - Alta",IF(K55&gt;=8,"B - Média","C - Baixa")))</x:f>
        <x:v>B - Média</x:v>
      </x:c>
      <x:c r="M55" s="2" t="inlineStr">
        <x:is>
          <x:t xml:space="preserve">Não contatado</x:t>
        </x:is>
      </x:c>
      <x:c r="N55" s="3" t="inlineStr">
        <x:is>
          <x:t xml:space="preserve"/>
        </x:is>
      </x:c>
      <x:c r="O55" s="3" t="inlineStr">
        <x:is>
          <x:t xml:space="preserve"/>
        </x:is>
      </x:c>
      <x:c r="P55" s="26" t="str">
        <x:v>contato@ropeautomacao.com.br</x:v>
      </x:c>
      <x:c r="Q55" s="3" t="inlineStr">
        <x:is>
          <x:t xml:space="preserve"/>
        </x:is>
      </x:c>
      <x:c r="R55" s="5" t="n"/>
      <x:c r="S55" s="3" t="inlineStr">
        <x:is>
          <x:t xml:space="preserve"/>
        </x:is>
      </x:c>
      <x:c r="T55" s="3" t="inlineStr">
        <x:is>
          <x:t xml:space="preserve"/>
        </x:is>
      </x:c>
      <x:c r="U55" s="26" t="str">
        <x:v>https://ropeautomacao.com.br/contato/</x:v>
      </x:c>
    </x:row>
    <x:row r="56">
      <x:c r="A56" s="2" t="n">
        <x:v>55</x:v>
      </x:c>
      <x:c r="B56" s="3" t="inlineStr">
        <x:is>
          <x:t xml:space="preserve">Trion Parker Store</x:t>
        </x:is>
      </x:c>
      <x:c r="C56" s="3" t="inlineStr">
        <x:is>
          <x:t xml:space="preserve">Hidráulica/Vedações</x:t>
        </x:is>
      </x:c>
      <x:c r="D56" s="3" t="inlineStr">
        <x:is>
          <x:t xml:space="preserve">Campinas</x:t>
        </x:is>
      </x:c>
      <x:c r="E56" s="2" t="inlineStr">
        <x:is>
          <x:t xml:space="preserve">SP</x:t>
        </x:is>
      </x:c>
      <x:c r="F56" s="2" t="inlineStr">
        <x:is>
          <x:t xml:space="preserve">Sudeste</x:t>
        </x:is>
      </x:c>
      <x:c r="G56" s="3" t="inlineStr">
        <x:is>
          <x:t xml:space="preserve">+55 19 97148-0768</x:t>
        </x:is>
      </x:c>
      <x:c r="H56" s="3" t="inlineStr">
        <x:is>
          <x:t xml:space="preserve">R. Pirangi, 195 - Jd. do Trevo</x:t>
        </x:is>
      </x:c>
      <x:c r="I56" s="4" t="n"/>
      <x:c r="J56" s="2" t="n"/>
      <x:c r="K56" s="2" t="str">
        <x:f>IF(OR(I56="",J56=""),"",IFERROR(ROUND(I56*LN(J56+1),1),""))</x:f>
      </x:c>
      <x:c r="L56" s="2" t="str">
        <x:f>IF(K56="","Sem dados - qualificar",IF(K56&gt;=15,"A - Alta",IF(K56&gt;=8,"B - Média","C - Baixa")))</x:f>
        <x:v>Sem dados - qualificar</x:v>
      </x:c>
      <x:c r="M56" s="2" t="inlineStr">
        <x:is>
          <x:t xml:space="preserve">Não contatado</x:t>
        </x:is>
      </x:c>
      <x:c r="N56" s="3" t="inlineStr">
        <x:is>
          <x:t xml:space="preserve"/>
        </x:is>
      </x:c>
      <x:c r="O56" s="3" t="inlineStr">
        <x:is>
          <x:t xml:space="preserve"/>
        </x:is>
      </x:c>
      <x:c r="P56" s="26" t="str">
        <x:v>vendas@trioncomponentes.com.br</x:v>
      </x:c>
      <x:c r="Q56" s="3" t="inlineStr">
        <x:is>
          <x:t xml:space="preserve"/>
        </x:is>
      </x:c>
      <x:c r="R56" s="5" t="n"/>
      <x:c r="S56" s="3" t="inlineStr">
        <x:is>
          <x:t xml:space="preserve"/>
        </x:is>
      </x:c>
      <x:c r="T56" s="3" t="inlineStr">
        <x:is>
          <x:t xml:space="preserve"/>
        </x:is>
      </x:c>
      <x:c r="U56" s="26" t="str">
        <x:v>https://trioncomponentes.com.br/empresa/</x:v>
      </x:c>
    </x:row>
    <x:row r="57">
      <x:c r="A57" s="2" t="n">
        <x:v>56</x:v>
      </x:c>
      <x:c r="B57" s="3" t="inlineStr">
        <x:is>
          <x:t xml:space="preserve">Vedacamp Vedações</x:t>
        </x:is>
      </x:c>
      <x:c r="C57" s="3" t="inlineStr">
        <x:is>
          <x:t xml:space="preserve">Fabricante/Vedações</x:t>
        </x:is>
      </x:c>
      <x:c r="D57" s="3" t="inlineStr">
        <x:is>
          <x:t xml:space="preserve">Campinas</x:t>
        </x:is>
      </x:c>
      <x:c r="E57" s="2" t="inlineStr">
        <x:is>
          <x:t xml:space="preserve">SP</x:t>
        </x:is>
      </x:c>
      <x:c r="F57" s="2" t="inlineStr">
        <x:is>
          <x:t xml:space="preserve">Sudeste</x:t>
        </x:is>
      </x:c>
      <x:c r="G57" s="3" t="inlineStr">
        <x:is>
          <x:t xml:space="preserve">+55 19 3242-1733</x:t>
        </x:is>
      </x:c>
      <x:c r="H57" s="3" t="inlineStr">
        <x:is>
          <x:t xml:space="preserve">R. Dr. Eduardo E. Badaró, 1096 - Jd. Eulina</x:t>
        </x:is>
      </x:c>
      <x:c r="I57" s="4" t="n">
        <x:v>4.4</x:v>
      </x:c>
      <x:c r="J57" s="2" t="n">
        <x:v>25</x:v>
      </x:c>
      <x:c r="K57" s="2" t="n">
        <x:f>IF(OR(I57="",J57=""),"",IFERROR(ROUND(I57*LN(J57+1),1),""))</x:f>
        <x:v>14.3</x:v>
      </x:c>
      <x:c r="L57" s="2" t="str">
        <x:f>IF(K57="","Sem dados - qualificar",IF(K57&gt;=15,"A - Alta",IF(K57&gt;=8,"B - Média","C - Baixa")))</x:f>
        <x:v>B - Média</x:v>
      </x:c>
      <x:c r="M57" s="2" t="inlineStr">
        <x:is>
          <x:t xml:space="preserve">Não contatado</x:t>
        </x:is>
      </x:c>
      <x:c r="N57" s="3" t="inlineStr">
        <x:is>
          <x:t xml:space="preserve"/>
        </x:is>
      </x:c>
      <x:c r="O57" s="3" t="inlineStr">
        <x:is>
          <x:t xml:space="preserve"/>
        </x:is>
      </x:c>
      <x:c r="P57" s="26" t="str">
        <x:v>contato@vedacamp.com</x:v>
      </x:c>
      <x:c r="Q57" s="3" t="inlineStr">
        <x:is>
          <x:t xml:space="preserve"/>
        </x:is>
      </x:c>
      <x:c r="R57" s="5" t="n"/>
      <x:c r="S57" s="3" t="inlineStr">
        <x:is>
          <x:t xml:space="preserve"/>
        </x:is>
      </x:c>
      <x:c r="T57" s="3" t="inlineStr">
        <x:is>
          <x:t xml:space="preserve"/>
        </x:is>
      </x:c>
      <x:c r="U57" s="26" t="str">
        <x:v>https://vedacamp.com/contato.html</x:v>
      </x:c>
    </x:row>
    <x:row r="58">
      <x:c r="A58" s="2" t="n">
        <x:v>57</x:v>
      </x:c>
      <x:c r="B58" s="3" t="inlineStr">
        <x:is>
          <x:t xml:space="preserve">Rolamentos e Retentores Rodema</x:t>
        </x:is>
      </x:c>
      <x:c r="C58" s="3" t="inlineStr">
        <x:is>
          <x:t xml:space="preserve">Rolamentos/Vedações</x:t>
        </x:is>
      </x:c>
      <x:c r="D58" s="3" t="inlineStr">
        <x:is>
          <x:t xml:space="preserve">Diadema</x:t>
        </x:is>
      </x:c>
      <x:c r="E58" s="2" t="inlineStr">
        <x:is>
          <x:t xml:space="preserve">SP</x:t>
        </x:is>
      </x:c>
      <x:c r="F58" s="2" t="inlineStr">
        <x:is>
          <x:t xml:space="preserve">Sudeste</x:t>
        </x:is>
      </x:c>
      <x:c r="G58" s="3" t="inlineStr">
        <x:is>
          <x:t xml:space="preserve">+55 11 4057-6650</x:t>
        </x:is>
      </x:c>
      <x:c r="H58" s="3" t="inlineStr">
        <x:is>
          <x:t xml:space="preserve">Av. Pres. Kennedy, 300 - Jd. Pitangueiras</x:t>
        </x:is>
      </x:c>
      <x:c r="I58" s="4" t="n">
        <x:v>4.5</x:v>
      </x:c>
      <x:c r="J58" s="2" t="n">
        <x:v>80</x:v>
      </x:c>
      <x:c r="K58" s="2" t="n">
        <x:f>IF(OR(I58="",J58=""),"",IFERROR(ROUND(I58*LN(J58+1),1),""))</x:f>
        <x:v>19.8</x:v>
      </x:c>
      <x:c r="L58" s="2" t="str">
        <x:f>IF(K58="","Sem dados - qualificar",IF(K58&gt;=15,"A - Alta",IF(K58&gt;=8,"B - Média","C - Baixa")))</x:f>
        <x:v>A - Alta</x:v>
      </x:c>
      <x:c r="M58" s="2" t="inlineStr">
        <x:is>
          <x:t xml:space="preserve">Não contatado</x:t>
        </x:is>
      </x:c>
      <x:c r="N58" s="3" t="inlineStr">
        <x:is>
          <x:t xml:space="preserve"/>
        </x:is>
      </x:c>
      <x:c r="O58" s="3" t="inlineStr">
        <x:is>
          <x:t xml:space="preserve"/>
        </x:is>
      </x:c>
      <x:c r="P58" s="26" t="str"/>
      <x:c r="Q58" s="3" t="inlineStr">
        <x:is>
          <x:t xml:space="preserve"/>
        </x:is>
      </x:c>
      <x:c r="R58" s="5" t="n"/>
      <x:c r="S58" s="3" t="inlineStr">
        <x:is>
          <x:t xml:space="preserve"/>
        </x:is>
      </x:c>
      <x:c r="T58" s="3" t="inlineStr">
        <x:is>
          <x:t xml:space="preserve"/>
        </x:is>
      </x:c>
      <x:c r="U58" s="26" t="str">
        <x:v>Não localizado em fonte pública confiável até 24/07/2026</x:v>
      </x:c>
    </x:row>
    <x:row r="59">
      <x:c r="A59" s="2" t="n">
        <x:v>58</x:v>
      </x:c>
      <x:c r="B59" s="3" t="inlineStr">
        <x:is>
          <x:t xml:space="preserve">Vedatec Vedações - Diadema</x:t>
        </x:is>
      </x:c>
      <x:c r="C59" s="3" t="inlineStr">
        <x:is>
          <x:t xml:space="preserve">Vedações</x:t>
        </x:is>
      </x:c>
      <x:c r="D59" s="3" t="inlineStr">
        <x:is>
          <x:t xml:space="preserve">Diadema</x:t>
        </x:is>
      </x:c>
      <x:c r="E59" s="2" t="inlineStr">
        <x:is>
          <x:t xml:space="preserve">SP</x:t>
        </x:is>
      </x:c>
      <x:c r="F59" s="2" t="inlineStr">
        <x:is>
          <x:t xml:space="preserve">Sudeste</x:t>
        </x:is>
      </x:c>
      <x:c r="G59" s="3" t="inlineStr">
        <x:is>
          <x:t xml:space="preserve">+55 11 4053-3099</x:t>
        </x:is>
      </x:c>
      <x:c r="H59" s="3" t="inlineStr">
        <x:is>
          <x:t xml:space="preserve">R. Arthur Pereira, 253 - Serraria</x:t>
        </x:is>
      </x:c>
      <x:c r="I59" s="4" t="n">
        <x:v>4.9</x:v>
      </x:c>
      <x:c r="J59" s="2" t="n">
        <x:v>19</x:v>
      </x:c>
      <x:c r="K59" s="2" t="n">
        <x:f>IF(OR(I59="",J59=""),"",IFERROR(ROUND(I59*LN(J59+1),1),""))</x:f>
        <x:v>14.7</x:v>
      </x:c>
      <x:c r="L59" s="2" t="str">
        <x:f>IF(K59="","Sem dados - qualificar",IF(K59&gt;=15,"A - Alta",IF(K59&gt;=8,"B - Média","C - Baixa")))</x:f>
        <x:v>B - Média</x:v>
      </x:c>
      <x:c r="M59" s="2" t="inlineStr">
        <x:is>
          <x:t xml:space="preserve">Não contatado</x:t>
        </x:is>
      </x:c>
      <x:c r="N59" s="3" t="inlineStr">
        <x:is>
          <x:t xml:space="preserve"/>
        </x:is>
      </x:c>
      <x:c r="O59" s="3" t="inlineStr">
        <x:is>
          <x:t xml:space="preserve"/>
        </x:is>
      </x:c>
      <x:c r="P59" s="26" t="str"/>
      <x:c r="Q59" s="3" t="inlineStr">
        <x:is>
          <x:t xml:space="preserve"/>
        </x:is>
      </x:c>
      <x:c r="R59" s="5" t="n"/>
      <x:c r="S59" s="3" t="inlineStr">
        <x:is>
          <x:t xml:space="preserve"/>
        </x:is>
      </x:c>
      <x:c r="T59" s="3" t="inlineStr">
        <x:is>
          <x:t xml:space="preserve"/>
        </x:is>
      </x:c>
      <x:c r="U59" s="26" t="str">
        <x:v>Não localizado em fonte pública confiável até 24/07/2026</x:v>
      </x:c>
    </x:row>
    <x:row r="60">
      <x:c r="A60" s="2" t="n">
        <x:v>59</x:v>
      </x:c>
      <x:c r="B60" s="3" t="inlineStr">
        <x:is>
          <x:t xml:space="preserve">Hidraufran Vedações</x:t>
        </x:is>
      </x:c>
      <x:c r="C60" s="3" t="inlineStr">
        <x:is>
          <x:t xml:space="preserve">Hidráulica/Vedações</x:t>
        </x:is>
      </x:c>
      <x:c r="D60" s="3" t="inlineStr">
        <x:is>
          <x:t xml:space="preserve">Franca</x:t>
        </x:is>
      </x:c>
      <x:c r="E60" s="2" t="inlineStr">
        <x:is>
          <x:t xml:space="preserve">SP</x:t>
        </x:is>
      </x:c>
      <x:c r="F60" s="2" t="inlineStr">
        <x:is>
          <x:t xml:space="preserve">Sudeste</x:t>
        </x:is>
      </x:c>
      <x:c r="G60" s="3" t="inlineStr">
        <x:is>
          <x:t xml:space="preserve">+55 16 3707-3027</x:t>
        </x:is>
      </x:c>
      <x:c r="H60" s="3" t="inlineStr">
        <x:is>
          <x:t xml:space="preserve">R. Maj. Moura Matos, 930 - Vila Rezende</x:t>
        </x:is>
      </x:c>
      <x:c r="I60" s="4" t="n">
        <x:v>5</x:v>
      </x:c>
      <x:c r="J60" s="2" t="n">
        <x:v>23</x:v>
      </x:c>
      <x:c r="K60" s="2" t="n">
        <x:f>IF(OR(I60="",J60=""),"",IFERROR(ROUND(I60*LN(J60+1),1),""))</x:f>
        <x:v>15.9</x:v>
      </x:c>
      <x:c r="L60" s="2" t="str">
        <x:f>IF(K60="","Sem dados - qualificar",IF(K60&gt;=15,"A - Alta",IF(K60&gt;=8,"B - Média","C - Baixa")))</x:f>
        <x:v>A - Alta</x:v>
      </x:c>
      <x:c r="M60" s="2" t="inlineStr">
        <x:is>
          <x:t xml:space="preserve">Não contatado</x:t>
        </x:is>
      </x:c>
      <x:c r="N60" s="3" t="inlineStr">
        <x:is>
          <x:t xml:space="preserve"/>
        </x:is>
      </x:c>
      <x:c r="O60" s="3" t="inlineStr">
        <x:is>
          <x:t xml:space="preserve"/>
        </x:is>
      </x:c>
      <x:c r="P60" s="26" t="str"/>
      <x:c r="Q60" s="3" t="inlineStr">
        <x:is>
          <x:t xml:space="preserve"/>
        </x:is>
      </x:c>
      <x:c r="R60" s="5" t="n"/>
      <x:c r="S60" s="3" t="inlineStr">
        <x:is>
          <x:t xml:space="preserve"/>
        </x:is>
      </x:c>
      <x:c r="T60" s="3" t="inlineStr">
        <x:is>
          <x:t xml:space="preserve"/>
        </x:is>
      </x:c>
      <x:c r="U60" s="26" t="str">
        <x:v>Não localizado em fonte pública confiável até 24/07/2026</x:v>
      </x:c>
    </x:row>
    <x:row r="61">
      <x:c r="A61" s="2" t="n">
        <x:v>60</x:v>
      </x:c>
      <x:c r="B61" s="3" t="inlineStr">
        <x:is>
          <x:t xml:space="preserve">Vedafort Oleohidráulica Vedações e Componentes</x:t>
        </x:is>
      </x:c>
      <x:c r="C61" s="3" t="inlineStr">
        <x:is>
          <x:t xml:space="preserve">Hidráulica/Vedações</x:t>
        </x:is>
      </x:c>
      <x:c r="D61" s="3" t="inlineStr">
        <x:is>
          <x:t xml:space="preserve">Franca</x:t>
        </x:is>
      </x:c>
      <x:c r="E61" s="2" t="inlineStr">
        <x:is>
          <x:t xml:space="preserve">SP</x:t>
        </x:is>
      </x:c>
      <x:c r="F61" s="2" t="inlineStr">
        <x:is>
          <x:t xml:space="preserve">Sudeste</x:t>
        </x:is>
      </x:c>
      <x:c r="G61" s="3" t="inlineStr">
        <x:is>
          <x:t xml:space="preserve">+55 16 3721-1838</x:t>
        </x:is>
      </x:c>
      <x:c r="H61" s="3" t="inlineStr">
        <x:is>
          <x:t xml:space="preserve">Av. Adhemar P. de Barros, 2380 - Jd. Brasilândia</x:t>
        </x:is>
      </x:c>
      <x:c r="I61" s="4" t="n">
        <x:v>4.4</x:v>
      </x:c>
      <x:c r="J61" s="2" t="n">
        <x:v>12</x:v>
      </x:c>
      <x:c r="K61" s="2" t="n">
        <x:f>IF(OR(I61="",J61=""),"",IFERROR(ROUND(I61*LN(J61+1),1),""))</x:f>
        <x:v>11.3</x:v>
      </x:c>
      <x:c r="L61" s="2" t="str">
        <x:f>IF(K61="","Sem dados - qualificar",IF(K61&gt;=15,"A - Alta",IF(K61&gt;=8,"B - Média","C - Baixa")))</x:f>
        <x:v>B - Média</x:v>
      </x:c>
      <x:c r="M61" s="2" t="inlineStr">
        <x:is>
          <x:t xml:space="preserve">Não contatado</x:t>
        </x:is>
      </x:c>
      <x:c r="N61" s="3" t="inlineStr">
        <x:is>
          <x:t xml:space="preserve"/>
        </x:is>
      </x:c>
      <x:c r="O61" s="3" t="inlineStr">
        <x:is>
          <x:t xml:space="preserve"/>
        </x:is>
      </x:c>
      <x:c r="P61" s="26" t="str">
        <x:v>vedafort.oleohidraulica@gmail.com</x:v>
      </x:c>
      <x:c r="Q61" s="3" t="inlineStr">
        <x:is>
          <x:t xml:space="preserve"/>
        </x:is>
      </x:c>
      <x:c r="R61" s="5" t="n"/>
      <x:c r="S61" s="3" t="inlineStr">
        <x:is>
          <x:t xml:space="preserve"/>
        </x:is>
      </x:c>
      <x:c r="T61" s="3" t="inlineStr">
        <x:is>
          <x:t xml:space="preserve"/>
        </x:is>
      </x:c>
      <x:c r="U61" s="26" t="str">
        <x:v>https://wa.me/vedafort</x:v>
      </x:c>
    </x:row>
    <x:row r="62">
      <x:c r="A62" s="2" t="n">
        <x:v>61</x:v>
      </x:c>
      <x:c r="B62" s="3" t="inlineStr">
        <x:is>
          <x:t xml:space="preserve">Allved Vedações</x:t>
        </x:is>
      </x:c>
      <x:c r="C62" s="3" t="inlineStr">
        <x:is>
          <x:t xml:space="preserve">Vedações</x:t>
        </x:is>
      </x:c>
      <x:c r="D62" s="3" t="inlineStr">
        <x:is>
          <x:t xml:space="preserve">Guarulhos</x:t>
        </x:is>
      </x:c>
      <x:c r="E62" s="2" t="inlineStr">
        <x:is>
          <x:t xml:space="preserve">SP</x:t>
        </x:is>
      </x:c>
      <x:c r="F62" s="2" t="inlineStr">
        <x:is>
          <x:t xml:space="preserve">Sudeste</x:t>
        </x:is>
      </x:c>
      <x:c r="G62" s="3" t="inlineStr">
        <x:is>
          <x:t xml:space="preserve">+55 11 2423-4481</x:t>
        </x:is>
      </x:c>
      <x:c r="H62" s="3" t="inlineStr">
        <x:is>
          <x:t xml:space="preserve">Av. Guarulhos, 1662 - Gopouva</x:t>
        </x:is>
      </x:c>
      <x:c r="I62" s="4" t="n">
        <x:v>4.9</x:v>
      </x:c>
      <x:c r="J62" s="2" t="n">
        <x:v>90</x:v>
      </x:c>
      <x:c r="K62" s="2" t="n">
        <x:f>IF(OR(I62="",J62=""),"",IFERROR(ROUND(I62*LN(J62+1),1),""))</x:f>
        <x:v>22.1</x:v>
      </x:c>
      <x:c r="L62" s="2" t="str">
        <x:f>IF(K62="","Sem dados - qualificar",IF(K62&gt;=15,"A - Alta",IF(K62&gt;=8,"B - Média","C - Baixa")))</x:f>
        <x:v>A - Alta</x:v>
      </x:c>
      <x:c r="M62" s="2" t="inlineStr">
        <x:is>
          <x:t xml:space="preserve">Não contatado</x:t>
        </x:is>
      </x:c>
      <x:c r="N62" s="3" t="inlineStr">
        <x:is>
          <x:t xml:space="preserve"/>
        </x:is>
      </x:c>
      <x:c r="O62" s="3" t="inlineStr">
        <x:is>
          <x:t xml:space="preserve"/>
        </x:is>
      </x:c>
      <x:c r="P62" s="26" t="str">
        <x:v>vendas@allved.com.br</x:v>
      </x:c>
      <x:c r="Q62" s="3" t="inlineStr">
        <x:is>
          <x:t xml:space="preserve"/>
        </x:is>
      </x:c>
      <x:c r="R62" s="5" t="n"/>
      <x:c r="S62" s="3" t="inlineStr">
        <x:is>
          <x:t xml:space="preserve"/>
        </x:is>
      </x:c>
      <x:c r="T62" s="3" t="inlineStr">
        <x:is>
          <x:t xml:space="preserve"/>
        </x:is>
      </x:c>
      <x:c r="U62" s="26" t="str">
        <x:v>https://allved.com.br/contato</x:v>
      </x:c>
    </x:row>
    <x:row r="63">
      <x:c r="A63" s="2" t="n">
        <x:v>62</x:v>
      </x:c>
      <x:c r="B63" s="3" t="inlineStr">
        <x:is>
          <x:t xml:space="preserve">CLD Rolamentos</x:t>
        </x:is>
      </x:c>
      <x:c r="C63" s="3" t="inlineStr">
        <x:is>
          <x:t xml:space="preserve">Rolamentos/Vedações</x:t>
        </x:is>
      </x:c>
      <x:c r="D63" s="3" t="inlineStr">
        <x:is>
          <x:t xml:space="preserve">Guarulhos</x:t>
        </x:is>
      </x:c>
      <x:c r="E63" s="2" t="inlineStr">
        <x:is>
          <x:t xml:space="preserve">SP</x:t>
        </x:is>
      </x:c>
      <x:c r="F63" s="2" t="inlineStr">
        <x:is>
          <x:t xml:space="preserve">Sudeste</x:t>
        </x:is>
      </x:c>
      <x:c r="G63" s="3" t="inlineStr">
        <x:is>
          <x:t xml:space="preserve">+55 11 2413-4949</x:t>
        </x:is>
      </x:c>
      <x:c r="H63" s="3" t="inlineStr">
        <x:is>
          <x:t xml:space="preserve">R. Mazagão, 222 - Cid. Jd. Cumbica</x:t>
        </x:is>
      </x:c>
      <x:c r="I63" s="4" t="n">
        <x:v>4.9</x:v>
      </x:c>
      <x:c r="J63" s="2" t="n">
        <x:v>136</x:v>
      </x:c>
      <x:c r="K63" s="2" t="n">
        <x:f>IF(OR(I63="",J63=""),"",IFERROR(ROUND(I63*LN(J63+1),1),""))</x:f>
        <x:v>24.1</x:v>
      </x:c>
      <x:c r="L63" s="2" t="str">
        <x:f>IF(K63="","Sem dados - qualificar",IF(K63&gt;=15,"A - Alta",IF(K63&gt;=8,"B - Média","C - Baixa")))</x:f>
        <x:v>A - Alta</x:v>
      </x:c>
      <x:c r="M63" s="2" t="inlineStr">
        <x:is>
          <x:t xml:space="preserve">Não contatado</x:t>
        </x:is>
      </x:c>
      <x:c r="N63" s="3" t="inlineStr">
        <x:is>
          <x:t xml:space="preserve"/>
        </x:is>
      </x:c>
      <x:c r="O63" s="3" t="inlineStr">
        <x:is>
          <x:t xml:space="preserve"/>
        </x:is>
      </x:c>
      <x:c r="P63" s="26" t="str"/>
      <x:c r="Q63" s="3" t="inlineStr">
        <x:is>
          <x:t xml:space="preserve"/>
        </x:is>
      </x:c>
      <x:c r="R63" s="5" t="n"/>
      <x:c r="S63" s="3" t="inlineStr">
        <x:is>
          <x:t xml:space="preserve"/>
        </x:is>
      </x:c>
      <x:c r="T63" s="3" t="inlineStr">
        <x:is>
          <x:t xml:space="preserve"/>
        </x:is>
      </x:c>
      <x:c r="U63" s="26" t="str">
        <x:v>Não localizado em fonte pública confiável até 24/07/2026</x:v>
      </x:c>
    </x:row>
    <x:row r="64">
      <x:c r="A64" s="2" t="n">
        <x:v>63</x:v>
      </x:c>
      <x:c r="B64" s="3" t="inlineStr">
        <x:is>
          <x:t xml:space="preserve">Olived Vedações Hidráulicas e Pneumáticas</x:t>
        </x:is>
      </x:c>
      <x:c r="C64" s="3" t="inlineStr">
        <x:is>
          <x:t xml:space="preserve">Vedações</x:t>
        </x:is>
      </x:c>
      <x:c r="D64" s="3" t="inlineStr">
        <x:is>
          <x:t xml:space="preserve">Guarulhos</x:t>
        </x:is>
      </x:c>
      <x:c r="E64" s="2" t="inlineStr">
        <x:is>
          <x:t xml:space="preserve">SP</x:t>
        </x:is>
      </x:c>
      <x:c r="F64" s="2" t="inlineStr">
        <x:is>
          <x:t xml:space="preserve">Sudeste</x:t>
        </x:is>
      </x:c>
      <x:c r="G64" s="3" t="inlineStr">
        <x:is>
          <x:t xml:space="preserve">+55 11 94701-0211</x:t>
        </x:is>
      </x:c>
      <x:c r="H64" s="3" t="inlineStr">
        <x:is>
          <x:t xml:space="preserve">Av. Antônieta, 156 - Vila Antonieta</x:t>
        </x:is>
      </x:c>
      <x:c r="I64" s="4" t="n">
        <x:v>4.9</x:v>
      </x:c>
      <x:c r="J64" s="2" t="n">
        <x:v>8</x:v>
      </x:c>
      <x:c r="K64" s="2" t="n">
        <x:f>IF(OR(I64="",J64=""),"",IFERROR(ROUND(I64*LN(J64+1),1),""))</x:f>
        <x:v>10.8</x:v>
      </x:c>
      <x:c r="L64" s="2" t="str">
        <x:f>IF(K64="","Sem dados - qualificar",IF(K64&gt;=15,"A - Alta",IF(K64&gt;=8,"B - Média","C - Baixa")))</x:f>
        <x:v>B - Média</x:v>
      </x:c>
      <x:c r="M64" s="2" t="inlineStr">
        <x:is>
          <x:t xml:space="preserve">Não contatado</x:t>
        </x:is>
      </x:c>
      <x:c r="N64" s="3" t="inlineStr">
        <x:is>
          <x:t xml:space="preserve"/>
        </x:is>
      </x:c>
      <x:c r="O64" s="3" t="inlineStr">
        <x:is>
          <x:t xml:space="preserve"/>
        </x:is>
      </x:c>
      <x:c r="P64" s="26" t="str">
        <x:v>olived@olived.com.br</x:v>
      </x:c>
      <x:c r="Q64" s="3" t="inlineStr">
        <x:is>
          <x:t xml:space="preserve"/>
        </x:is>
      </x:c>
      <x:c r="R64" s="5" t="n"/>
      <x:c r="S64" s="3" t="inlineStr">
        <x:is>
          <x:t xml:space="preserve"/>
        </x:is>
      </x:c>
      <x:c r="T64" s="3" t="inlineStr">
        <x:is>
          <x:t xml:space="preserve"/>
        </x:is>
      </x:c>
      <x:c r="U64" s="26" t="str">
        <x:v>https://www.instagram.com/p/DZnUltxAGea/</x:v>
      </x:c>
    </x:row>
    <x:row r="65">
      <x:c r="A65" s="2" t="n">
        <x:v>64</x:v>
      </x:c>
      <x:c r="B65" s="3" t="inlineStr">
        <x:is>
          <x:t xml:space="preserve">Plastifluor</x:t>
        </x:is>
      </x:c>
      <x:c r="C65" s="3" t="inlineStr">
        <x:is>
          <x:t xml:space="preserve">Fabricante PTFE</x:t>
        </x:is>
      </x:c>
      <x:c r="D65" s="3" t="inlineStr">
        <x:is>
          <x:t xml:space="preserve">Guarulhos</x:t>
        </x:is>
      </x:c>
      <x:c r="E65" s="2" t="inlineStr">
        <x:is>
          <x:t xml:space="preserve">SP</x:t>
        </x:is>
      </x:c>
      <x:c r="F65" s="2" t="inlineStr">
        <x:is>
          <x:t xml:space="preserve">Sudeste</x:t>
        </x:is>
      </x:c>
      <x:c r="G65" s="3" t="inlineStr">
        <x:is>
          <x:t xml:space="preserve">+55 11 2504-5858</x:t>
        </x:is>
      </x:c>
      <x:c r="H65" s="3" t="inlineStr">
        <x:is>
          <x:t xml:space="preserve">R. Armando Endres, 182 - Jd. Vila Galvão</x:t>
        </x:is>
      </x:c>
      <x:c r="I65" s="4" t="n">
        <x:v>4.1</x:v>
      </x:c>
      <x:c r="J65" s="2" t="n">
        <x:v>20</x:v>
      </x:c>
      <x:c r="K65" s="2" t="n">
        <x:f>IF(OR(I65="",J65=""),"",IFERROR(ROUND(I65*LN(J65+1),1),""))</x:f>
        <x:v>12.5</x:v>
      </x:c>
      <x:c r="L65" s="2" t="str">
        <x:f>IF(K65="","Sem dados - qualificar",IF(K65&gt;=15,"A - Alta",IF(K65&gt;=8,"B - Média","C - Baixa")))</x:f>
        <x:v>B - Média</x:v>
      </x:c>
      <x:c r="M65" s="2" t="inlineStr">
        <x:is>
          <x:t xml:space="preserve">Não contatado</x:t>
        </x:is>
      </x:c>
      <x:c r="N65" s="3" t="inlineStr">
        <x:is>
          <x:t xml:space="preserve"/>
        </x:is>
      </x:c>
      <x:c r="O65" s="3" t="inlineStr">
        <x:is>
          <x:t xml:space="preserve"/>
        </x:is>
      </x:c>
      <x:c r="P65" s="26" t="str">
        <x:v>contato@plastifluor.com.br</x:v>
      </x:c>
      <x:c r="Q65" s="3" t="inlineStr">
        <x:is>
          <x:t xml:space="preserve"/>
        </x:is>
      </x:c>
      <x:c r="R65" s="5" t="n"/>
      <x:c r="S65" s="3" t="inlineStr">
        <x:is>
          <x:t xml:space="preserve"/>
        </x:is>
      </x:c>
      <x:c r="T65" s="3" t="inlineStr">
        <x:is>
          <x:t xml:space="preserve"/>
        </x:is>
      </x:c>
      <x:c r="U65" s="26" t="str">
        <x:v>https://www.plastifluor.com.br/contato.php</x:v>
      </x:c>
    </x:row>
    <x:row r="66">
      <x:c r="A66" s="2" t="n">
        <x:v>65</x:v>
      </x:c>
      <x:c r="B66" s="3" t="inlineStr">
        <x:is>
          <x:t xml:space="preserve">Qualived Vedações</x:t>
        </x:is>
      </x:c>
      <x:c r="C66" s="3" t="inlineStr">
        <x:is>
          <x:t xml:space="preserve">Vedações</x:t>
        </x:is>
      </x:c>
      <x:c r="D66" s="3" t="inlineStr">
        <x:is>
          <x:t xml:space="preserve">Guarulhos</x:t>
        </x:is>
      </x:c>
      <x:c r="E66" s="2" t="inlineStr">
        <x:is>
          <x:t xml:space="preserve">SP</x:t>
        </x:is>
      </x:c>
      <x:c r="F66" s="2" t="inlineStr">
        <x:is>
          <x:t xml:space="preserve">Sudeste</x:t>
        </x:is>
      </x:c>
      <x:c r="G66" s="3" t="inlineStr">
        <x:is>
          <x:t xml:space="preserve">+55 11 2421-2210</x:t>
        </x:is>
      </x:c>
      <x:c r="H66" s="3" t="inlineStr">
        <x:is>
          <x:t xml:space="preserve">R. Cavadas, 624 - Vila São João</x:t>
        </x:is>
      </x:c>
      <x:c r="I66" s="4" t="n">
        <x:v>4.5</x:v>
      </x:c>
      <x:c r="J66" s="2" t="n">
        <x:v>162</x:v>
      </x:c>
      <x:c r="K66" s="2" t="n">
        <x:f>IF(OR(I66="",J66=""),"",IFERROR(ROUND(I66*LN(J66+1),1),""))</x:f>
        <x:v>22.9</x:v>
      </x:c>
      <x:c r="L66" s="2" t="str">
        <x:f>IF(K66="","Sem dados - qualificar",IF(K66&gt;=15,"A - Alta",IF(K66&gt;=8,"B - Média","C - Baixa")))</x:f>
        <x:v>A - Alta</x:v>
      </x:c>
      <x:c r="M66" s="2" t="inlineStr">
        <x:is>
          <x:t xml:space="preserve">Não contatado</x:t>
        </x:is>
      </x:c>
      <x:c r="N66" s="3" t="inlineStr">
        <x:is>
          <x:t xml:space="preserve"/>
        </x:is>
      </x:c>
      <x:c r="O66" s="3" t="inlineStr">
        <x:is>
          <x:t xml:space="preserve"/>
        </x:is>
      </x:c>
      <x:c r="P66" s="26" t="str">
        <x:v>vendas@qualived.com.br</x:v>
      </x:c>
      <x:c r="Q66" s="3" t="inlineStr">
        <x:is>
          <x:t xml:space="preserve"/>
        </x:is>
      </x:c>
      <x:c r="R66" s="5" t="n"/>
      <x:c r="S66" s="3" t="inlineStr">
        <x:is>
          <x:t xml:space="preserve"/>
        </x:is>
      </x:c>
      <x:c r="T66" s="3" t="inlineStr">
        <x:is>
          <x:t xml:space="preserve"/>
        </x:is>
      </x:c>
      <x:c r="U66" s="26" t="str">
        <x:v>https://qualived.com.br/contato/</x:v>
      </x:c>
    </x:row>
    <x:row r="67">
      <x:c r="A67" s="2" t="n">
        <x:v>66</x:v>
      </x:c>
      <x:c r="B67" s="3" t="inlineStr">
        <x:is>
          <x:t xml:space="preserve">Real Vedações - Guarulhos</x:t>
        </x:is>
      </x:c>
      <x:c r="C67" s="3" t="inlineStr">
        <x:is>
          <x:t xml:space="preserve">Vedações</x:t>
        </x:is>
      </x:c>
      <x:c r="D67" s="3" t="inlineStr">
        <x:is>
          <x:t xml:space="preserve">Guarulhos</x:t>
        </x:is>
      </x:c>
      <x:c r="E67" s="2" t="inlineStr">
        <x:is>
          <x:t xml:space="preserve">SP</x:t>
        </x:is>
      </x:c>
      <x:c r="F67" s="2" t="inlineStr">
        <x:is>
          <x:t xml:space="preserve">Sudeste</x:t>
        </x:is>
      </x:c>
      <x:c r="G67" s="3" t="inlineStr">
        <x:is>
          <x:t xml:space="preserve">+55 11 2431-9077</x:t>
        </x:is>
      </x:c>
      <x:c r="H67" s="3" t="inlineStr">
        <x:is>
          <x:t xml:space="preserve">Rua Nova York, 248 - Jd. Pres. Dutra</x:t>
        </x:is>
      </x:c>
      <x:c r="I67" s="4" t="n"/>
      <x:c r="J67" s="2" t="n"/>
      <x:c r="K67" s="2" t="str">
        <x:f>IF(OR(I67="",J67=""),"",IFERROR(ROUND(I67*LN(J67+1),1),""))</x:f>
      </x:c>
      <x:c r="L67" s="2" t="str">
        <x:f>IF(K67="","Sem dados - qualificar",IF(K67&gt;=15,"A - Alta",IF(K67&gt;=8,"B - Média","C - Baixa")))</x:f>
        <x:v>Sem dados - qualificar</x:v>
      </x:c>
      <x:c r="M67" s="2" t="inlineStr">
        <x:is>
          <x:t xml:space="preserve">Não contatado</x:t>
        </x:is>
      </x:c>
      <x:c r="N67" s="3" t="inlineStr">
        <x:is>
          <x:t xml:space="preserve"/>
        </x:is>
      </x:c>
      <x:c r="O67" s="3" t="inlineStr">
        <x:is>
          <x:t xml:space="preserve"/>
        </x:is>
      </x:c>
      <x:c r="P67" s="26" t="str">
        <x:v>vendas@realvedacoes.ind.br</x:v>
      </x:c>
      <x:c r="Q67" s="3" t="inlineStr">
        <x:is>
          <x:t xml:space="preserve"/>
        </x:is>
      </x:c>
      <x:c r="R67" s="5" t="n"/>
      <x:c r="S67" s="3" t="inlineStr">
        <x:is>
          <x:t xml:space="preserve"/>
        </x:is>
      </x:c>
      <x:c r="T67" s="3" t="inlineStr">
        <x:is>
          <x:t xml:space="preserve"/>
        </x:is>
      </x:c>
      <x:c r="U67" s="26" t="str">
        <x:v>https://realvedacoes.ind.br/</x:v>
      </x:c>
    </x:row>
    <x:row r="68">
      <x:c r="A68" s="2" t="n">
        <x:v>67</x:v>
      </x:c>
      <x:c r="B68" s="3" t="inlineStr">
        <x:is>
          <x:t xml:space="preserve">Tex Vedações</x:t>
        </x:is>
      </x:c>
      <x:c r="C68" s="3" t="inlineStr">
        <x:is>
          <x:t xml:space="preserve">Fabricante/Vedações</x:t>
        </x:is>
      </x:c>
      <x:c r="D68" s="3" t="inlineStr">
        <x:is>
          <x:t xml:space="preserve">Guarulhos</x:t>
        </x:is>
      </x:c>
      <x:c r="E68" s="2" t="inlineStr">
        <x:is>
          <x:t xml:space="preserve">SP</x:t>
        </x:is>
      </x:c>
      <x:c r="F68" s="2" t="inlineStr">
        <x:is>
          <x:t xml:space="preserve">Sudeste</x:t>
        </x:is>
      </x:c>
      <x:c r="G68" s="3" t="inlineStr">
        <x:is>
          <x:t xml:space="preserve">+55 11 4966-1003</x:t>
        </x:is>
      </x:c>
      <x:c r="H68" s="3" t="inlineStr">
        <x:is>
          <x:t xml:space="preserve">R. Maria Zintl, 261 - Jd. Cocaia</x:t>
        </x:is>
      </x:c>
      <x:c r="I68" s="4" t="n">
        <x:v>5</x:v>
      </x:c>
      <x:c r="J68" s="2" t="n">
        <x:v>2</x:v>
      </x:c>
      <x:c r="K68" s="2" t="n">
        <x:f>IF(OR(I68="",J68=""),"",IFERROR(ROUND(I68*LN(J68+1),1),""))</x:f>
        <x:v>5.5</x:v>
      </x:c>
      <x:c r="L68" s="2" t="str">
        <x:f>IF(K68="","Sem dados - qualificar",IF(K68&gt;=15,"A - Alta",IF(K68&gt;=8,"B - Média","C - Baixa")))</x:f>
        <x:v>C - Baixa</x:v>
      </x:c>
      <x:c r="M68" s="2" t="inlineStr">
        <x:is>
          <x:t xml:space="preserve">Não contatado</x:t>
        </x:is>
      </x:c>
      <x:c r="N68" s="3" t="inlineStr">
        <x:is>
          <x:t xml:space="preserve"/>
        </x:is>
      </x:c>
      <x:c r="O68" s="3" t="inlineStr">
        <x:is>
          <x:t xml:space="preserve"/>
        </x:is>
      </x:c>
      <x:c r="P68" s="26" t="str"/>
      <x:c r="Q68" s="3" t="inlineStr">
        <x:is>
          <x:t xml:space="preserve"/>
        </x:is>
      </x:c>
      <x:c r="R68" s="5" t="n"/>
      <x:c r="S68" s="3" t="inlineStr">
        <x:is>
          <x:t xml:space="preserve"/>
        </x:is>
      </x:c>
      <x:c r="T68" s="3" t="inlineStr">
        <x:is>
          <x:t xml:space="preserve"/>
        </x:is>
      </x:c>
      <x:c r="U68" s="26" t="str">
        <x:v>Não localizado em fonte pública confiável até 24/07/2026</x:v>
      </x:c>
    </x:row>
    <x:row r="69">
      <x:c r="A69" s="2" t="n">
        <x:v>68</x:v>
      </x:c>
      <x:c r="B69" s="3" t="inlineStr">
        <x:is>
          <x:t xml:space="preserve">Vedall Vedações Industriais</x:t>
        </x:is>
      </x:c>
      <x:c r="C69" s="3" t="inlineStr">
        <x:is>
          <x:t xml:space="preserve">Vedações</x:t>
        </x:is>
      </x:c>
      <x:c r="D69" s="3" t="inlineStr">
        <x:is>
          <x:t xml:space="preserve">Guarulhos</x:t>
        </x:is>
      </x:c>
      <x:c r="E69" s="2" t="inlineStr">
        <x:is>
          <x:t xml:space="preserve">SP</x:t>
        </x:is>
      </x:c>
      <x:c r="F69" s="2" t="inlineStr">
        <x:is>
          <x:t xml:space="preserve">Sudeste</x:t>
        </x:is>
      </x:c>
      <x:c r="G69" s="3" t="inlineStr">
        <x:is>
          <x:t xml:space="preserve">+55 11 2414-7100</x:t>
        </x:is>
      </x:c>
      <x:c r="H69" s="3" t="inlineStr">
        <x:is>
          <x:t xml:space="preserve">Av. Guarulhos, 1684 - Vila Augusta</x:t>
        </x:is>
      </x:c>
      <x:c r="I69" s="4" t="n">
        <x:v>4.5</x:v>
      </x:c>
      <x:c r="J69" s="2" t="n">
        <x:v>69</x:v>
      </x:c>
      <x:c r="K69" s="2" t="n">
        <x:f>IF(OR(I69="",J69=""),"",IFERROR(ROUND(I69*LN(J69+1),1),""))</x:f>
        <x:v>19.1</x:v>
      </x:c>
      <x:c r="L69" s="2" t="str">
        <x:f>IF(K69="","Sem dados - qualificar",IF(K69&gt;=15,"A - Alta",IF(K69&gt;=8,"B - Média","C - Baixa")))</x:f>
        <x:v>A - Alta</x:v>
      </x:c>
      <x:c r="M69" s="2" t="inlineStr">
        <x:is>
          <x:t xml:space="preserve">Não contatado</x:t>
        </x:is>
      </x:c>
      <x:c r="N69" s="3" t="inlineStr">
        <x:is>
          <x:t xml:space="preserve"/>
        </x:is>
      </x:c>
      <x:c r="O69" s="3" t="inlineStr">
        <x:is>
          <x:t xml:space="preserve"/>
        </x:is>
      </x:c>
      <x:c r="P69" s="26" t="str">
        <x:v>vendas01@vedall.com.br</x:v>
      </x:c>
      <x:c r="Q69" s="3" t="inlineStr">
        <x:is>
          <x:t xml:space="preserve"/>
        </x:is>
      </x:c>
      <x:c r="R69" s="5" t="n"/>
      <x:c r="S69" s="3" t="inlineStr">
        <x:is>
          <x:t xml:space="preserve"/>
        </x:is>
      </x:c>
      <x:c r="T69" s="3" t="inlineStr">
        <x:is>
          <x:t xml:space="preserve"/>
        </x:is>
      </x:c>
      <x:c r="U69" s="26" t="str">
        <x:v>https://vedallvedacoes.com.br/</x:v>
      </x:c>
    </x:row>
    <x:row r="70">
      <x:c r="A70" s="2" t="n">
        <x:v>69</x:v>
      </x:c>
      <x:c r="B70" s="3" t="inlineStr">
        <x:is>
          <x:t xml:space="preserve">Via Products</x:t>
        </x:is>
      </x:c>
      <x:c r="C70" s="3" t="inlineStr">
        <x:is>
          <x:t xml:space="preserve">Vedações/Industrial</x:t>
        </x:is>
      </x:c>
      <x:c r="D70" s="3" t="inlineStr">
        <x:is>
          <x:t xml:space="preserve">Guarulhos</x:t>
        </x:is>
      </x:c>
      <x:c r="E70" s="2" t="inlineStr">
        <x:is>
          <x:t xml:space="preserve">SP</x:t>
        </x:is>
      </x:c>
      <x:c r="F70" s="2" t="inlineStr">
        <x:is>
          <x:t xml:space="preserve">Sudeste</x:t>
        </x:is>
      </x:c>
      <x:c r="G70" s="3" t="inlineStr">
        <x:is>
          <x:t xml:space="preserve">+55 11 2423-5533</x:t>
        </x:is>
      </x:c>
      <x:c r="H70" s="3" t="inlineStr">
        <x:is>
          <x:t xml:space="preserve">Av. Guarulhos, 1548 - Gopouva</x:t>
        </x:is>
      </x:c>
      <x:c r="I70" s="4" t="n">
        <x:v>4.6</x:v>
      </x:c>
      <x:c r="J70" s="2" t="n">
        <x:v>36</x:v>
      </x:c>
      <x:c r="K70" s="2" t="n">
        <x:f>IF(OR(I70="",J70=""),"",IFERROR(ROUND(I70*LN(J70+1),1),""))</x:f>
        <x:v>16.6</x:v>
      </x:c>
      <x:c r="L70" s="2" t="str">
        <x:f>IF(K70="","Sem dados - qualificar",IF(K70&gt;=15,"A - Alta",IF(K70&gt;=8,"B - Média","C - Baixa")))</x:f>
        <x:v>A - Alta</x:v>
      </x:c>
      <x:c r="M70" s="2" t="inlineStr">
        <x:is>
          <x:t xml:space="preserve">Não contatado</x:t>
        </x:is>
      </x:c>
      <x:c r="N70" s="3" t="inlineStr">
        <x:is>
          <x:t xml:space="preserve"/>
        </x:is>
      </x:c>
      <x:c r="O70" s="3" t="inlineStr">
        <x:is>
          <x:t xml:space="preserve"/>
        </x:is>
      </x:c>
      <x:c r="P70" s="26" t="str">
        <x:v>vendas@viaproducts.com.br</x:v>
      </x:c>
      <x:c r="Q70" s="3" t="inlineStr">
        <x:is>
          <x:t xml:space="preserve"/>
        </x:is>
      </x:c>
      <x:c r="R70" s="5" t="n"/>
      <x:c r="S70" s="3" t="inlineStr">
        <x:is>
          <x:t xml:space="preserve"/>
        </x:is>
      </x:c>
      <x:c r="T70" s="3" t="inlineStr">
        <x:is>
          <x:t xml:space="preserve"/>
        </x:is>
      </x:c>
      <x:c r="U70" s="26" t="str">
        <x:v>https://www.viaproducts.com.br/como-comprar</x:v>
      </x:c>
    </x:row>
    <x:row r="71">
      <x:c r="A71" s="2" t="n">
        <x:v>70</x:v>
      </x:c>
      <x:c r="B71" s="3" t="inlineStr">
        <x:is>
          <x:t xml:space="preserve">Intertac Componentes Industriais</x:t>
        </x:is>
      </x:c>
      <x:c r="C71" s="3" t="inlineStr">
        <x:is>
          <x:t xml:space="preserve">Industrial</x:t>
        </x:is>
      </x:c>
      <x:c r="D71" s="3" t="inlineStr">
        <x:is>
          <x:t xml:space="preserve">Hortolândia</x:t>
        </x:is>
      </x:c>
      <x:c r="E71" s="2" t="inlineStr">
        <x:is>
          <x:t xml:space="preserve">SP</x:t>
        </x:is>
      </x:c>
      <x:c r="F71" s="2" t="inlineStr">
        <x:is>
          <x:t xml:space="preserve">Sudeste</x:t>
        </x:is>
      </x:c>
      <x:c r="G71" s="3" t="inlineStr">
        <x:is>
          <x:t xml:space="preserve">+55 19 3203-6095</x:t>
        </x:is>
      </x:c>
      <x:c r="H71" s="3" t="inlineStr">
        <x:is>
          <x:t xml:space="preserve">Rua Otávio Rosolen, 12</x:t>
        </x:is>
      </x:c>
      <x:c r="I71" s="4" t="n">
        <x:v>4.4</x:v>
      </x:c>
      <x:c r="J71" s="2" t="n">
        <x:v>7</x:v>
      </x:c>
      <x:c r="K71" s="2" t="n">
        <x:f>IF(OR(I71="",J71=""),"",IFERROR(ROUND(I71*LN(J71+1),1),""))</x:f>
        <x:v>9.1</x:v>
      </x:c>
      <x:c r="L71" s="2" t="str">
        <x:f>IF(K71="","Sem dados - qualificar",IF(K71&gt;=15,"A - Alta",IF(K71&gt;=8,"B - Média","C - Baixa")))</x:f>
        <x:v>B - Média</x:v>
      </x:c>
      <x:c r="M71" s="2" t="inlineStr">
        <x:is>
          <x:t xml:space="preserve">Não contatado</x:t>
        </x:is>
      </x:c>
      <x:c r="N71" s="3" t="inlineStr">
        <x:is>
          <x:t xml:space="preserve"/>
        </x:is>
      </x:c>
      <x:c r="O71" s="3" t="inlineStr">
        <x:is>
          <x:t xml:space="preserve"/>
        </x:is>
      </x:c>
      <x:c r="P71" s="26" t="str">
        <x:v>vendas@intertac.com.br</x:v>
      </x:c>
      <x:c r="Q71" s="3" t="inlineStr">
        <x:is>
          <x:t xml:space="preserve"/>
        </x:is>
      </x:c>
      <x:c r="R71" s="5" t="n"/>
      <x:c r="S71" s="3" t="inlineStr">
        <x:is>
          <x:t xml:space="preserve"/>
        </x:is>
      </x:c>
      <x:c r="T71" s="3" t="inlineStr">
        <x:is>
          <x:t xml:space="preserve"/>
        </x:is>
      </x:c>
      <x:c r="U71" s="26" t="str">
        <x:v>https://br.automation.camozzi.com/contatos/brasil-locale-sales/</x:v>
      </x:c>
    </x:row>
    <x:row r="72">
      <x:c r="A72" s="2" t="n">
        <x:v>71</x:v>
      </x:c>
      <x:c r="B72" s="3" t="inlineStr">
        <x:is>
          <x:t xml:space="preserve">Diniz Vedações</x:t>
        </x:is>
      </x:c>
      <x:c r="C72" s="3" t="inlineStr">
        <x:is>
          <x:t xml:space="preserve">Vedações</x:t>
        </x:is>
      </x:c>
      <x:c r="D72" s="3" t="inlineStr">
        <x:is>
          <x:t xml:space="preserve">Indaiatuba</x:t>
        </x:is>
      </x:c>
      <x:c r="E72" s="2" t="inlineStr">
        <x:is>
          <x:t xml:space="preserve">SP</x:t>
        </x:is>
      </x:c>
      <x:c r="F72" s="2" t="inlineStr">
        <x:is>
          <x:t xml:space="preserve">Sudeste</x:t>
        </x:is>
      </x:c>
      <x:c r="G72" s="3" t="inlineStr">
        <x:is>
          <x:t xml:space="preserve">+55 19 3835-7172</x:t>
        </x:is>
      </x:c>
      <x:c r="H72" s="3" t="inlineStr">
        <x:is>
          <x:t xml:space="preserve">R. Pedro Gonçalves, 1168 - Centro</x:t>
        </x:is>
      </x:c>
      <x:c r="I72" s="4" t="n">
        <x:v>4.5</x:v>
      </x:c>
      <x:c r="J72" s="2" t="n">
        <x:v>20</x:v>
      </x:c>
      <x:c r="K72" s="2" t="n">
        <x:f>IF(OR(I72="",J72=""),"",IFERROR(ROUND(I72*LN(J72+1),1),""))</x:f>
        <x:v>13.7</x:v>
      </x:c>
      <x:c r="L72" s="2" t="str">
        <x:f>IF(K72="","Sem dados - qualificar",IF(K72&gt;=15,"A - Alta",IF(K72&gt;=8,"B - Média","C - Baixa")))</x:f>
        <x:v>B - Média</x:v>
      </x:c>
      <x:c r="M72" s="2" t="inlineStr">
        <x:is>
          <x:t xml:space="preserve">Não contatado</x:t>
        </x:is>
      </x:c>
      <x:c r="N72" s="3" t="inlineStr">
        <x:is>
          <x:t xml:space="preserve"/>
        </x:is>
      </x:c>
      <x:c r="O72" s="3" t="inlineStr">
        <x:is>
          <x:t xml:space="preserve"/>
        </x:is>
      </x:c>
      <x:c r="P72" s="26" t="str">
        <x:v>diniz@dinizvedacao.com.br</x:v>
      </x:c>
      <x:c r="Q72" s="3" t="inlineStr">
        <x:is>
          <x:t xml:space="preserve"/>
        </x:is>
      </x:c>
      <x:c r="R72" s="5" t="n"/>
      <x:c r="S72" s="3" t="inlineStr">
        <x:is>
          <x:t xml:space="preserve"/>
        </x:is>
      </x:c>
      <x:c r="T72" s="3" t="inlineStr">
        <x:is>
          <x:t xml:space="preserve"/>
        </x:is>
      </x:c>
      <x:c r="U72" s="26" t="str">
        <x:v>https://dinizvedacao.com.br/contato</x:v>
      </x:c>
    </x:row>
    <x:row r="73">
      <x:c r="A73" s="2" t="n">
        <x:v>72</x:v>
      </x:c>
      <x:c r="B73" s="3" t="inlineStr">
        <x:is>
          <x:t xml:space="preserve">House Seal</x:t>
        </x:is>
      </x:c>
      <x:c r="C73" s="3" t="inlineStr">
        <x:is>
          <x:t xml:space="preserve">Vedações</x:t>
        </x:is>
      </x:c>
      <x:c r="D73" s="3" t="inlineStr">
        <x:is>
          <x:t xml:space="preserve">Indaiatuba</x:t>
        </x:is>
      </x:c>
      <x:c r="E73" s="2" t="inlineStr">
        <x:is>
          <x:t xml:space="preserve">SP</x:t>
        </x:is>
      </x:c>
      <x:c r="F73" s="2" t="inlineStr">
        <x:is>
          <x:t xml:space="preserve">Sudeste</x:t>
        </x:is>
      </x:c>
      <x:c r="G73" s="3" t="inlineStr">
        <x:is>
          <x:t xml:space="preserve">+55 19 99725-6121</x:t>
        </x:is>
      </x:c>
      <x:c r="H73" s="3" t="inlineStr">
        <x:is>
          <x:t xml:space="preserve">Av. Eng. Fábio R. Barnabé, 2502 - Jd. Esplanada</x:t>
        </x:is>
      </x:c>
      <x:c r="I73" s="4" t="n">
        <x:v>4.9</x:v>
      </x:c>
      <x:c r="J73" s="2" t="n">
        <x:v>295</x:v>
      </x:c>
      <x:c r="K73" s="2" t="n">
        <x:f>IF(OR(I73="",J73=""),"",IFERROR(ROUND(I73*LN(J73+1),1),""))</x:f>
        <x:v>27.9</x:v>
      </x:c>
      <x:c r="L73" s="2" t="str">
        <x:f>IF(K73="","Sem dados - qualificar",IF(K73&gt;=15,"A - Alta",IF(K73&gt;=8,"B - Média","C - Baixa")))</x:f>
        <x:v>A - Alta</x:v>
      </x:c>
      <x:c r="M73" s="2" t="inlineStr">
        <x:is>
          <x:t xml:space="preserve">Não contatado</x:t>
        </x:is>
      </x:c>
      <x:c r="N73" s="3" t="inlineStr">
        <x:is>
          <x:t xml:space="preserve"/>
        </x:is>
      </x:c>
      <x:c r="O73" s="3" t="inlineStr">
        <x:is>
          <x:t xml:space="preserve"/>
        </x:is>
      </x:c>
      <x:c r="P73" s="26" t="str"/>
      <x:c r="Q73" s="3" t="inlineStr">
        <x:is>
          <x:t xml:space="preserve"/>
        </x:is>
      </x:c>
      <x:c r="R73" s="5" t="n"/>
      <x:c r="S73" s="3" t="inlineStr">
        <x:is>
          <x:t xml:space="preserve"/>
        </x:is>
      </x:c>
      <x:c r="T73" s="3" t="inlineStr">
        <x:is>
          <x:t xml:space="preserve"/>
        </x:is>
      </x:c>
      <x:c r="U73" s="26" t="str">
        <x:v>Não localizado em fonte pública confiável até 24/07/2026</x:v>
      </x:c>
    </x:row>
    <x:row r="74">
      <x:c r="A74" s="2" t="n">
        <x:v>73</x:v>
      </x:c>
      <x:c r="B74" s="3" t="inlineStr">
        <x:is>
          <x:t xml:space="preserve">Mac Vedações</x:t>
        </x:is>
      </x:c>
      <x:c r="C74" s="3" t="inlineStr">
        <x:is>
          <x:t xml:space="preserve">Fabricante/Vedações</x:t>
        </x:is>
      </x:c>
      <x:c r="D74" s="3" t="inlineStr">
        <x:is>
          <x:t xml:space="preserve">Itaquaquecetuba</x:t>
        </x:is>
      </x:c>
      <x:c r="E74" s="2" t="inlineStr">
        <x:is>
          <x:t xml:space="preserve">SP</x:t>
        </x:is>
      </x:c>
      <x:c r="F74" s="2" t="inlineStr">
        <x:is>
          <x:t xml:space="preserve">Sudeste</x:t>
        </x:is>
      </x:c>
      <x:c r="G74" s="3" t="inlineStr">
        <x:is>
          <x:t xml:space="preserve">+55 11 97439-9345</x:t>
        </x:is>
      </x:c>
      <x:c r="H74" s="3" t="inlineStr">
        <x:is>
          <x:t xml:space="preserve">R. Roma, 2320 - Pq. Macedo</x:t>
        </x:is>
      </x:c>
      <x:c r="I74" s="4" t="n">
        <x:v>4.9</x:v>
      </x:c>
      <x:c r="J74" s="2" t="n">
        <x:v>46</x:v>
      </x:c>
      <x:c r="K74" s="2" t="n">
        <x:f>IF(OR(I74="",J74=""),"",IFERROR(ROUND(I74*LN(J74+1),1),""))</x:f>
        <x:v>18.9</x:v>
      </x:c>
      <x:c r="L74" s="2" t="str">
        <x:f>IF(K74="","Sem dados - qualificar",IF(K74&gt;=15,"A - Alta",IF(K74&gt;=8,"B - Média","C - Baixa")))</x:f>
        <x:v>A - Alta</x:v>
      </x:c>
      <x:c r="M74" s="2" t="inlineStr">
        <x:is>
          <x:t xml:space="preserve">Não contatado</x:t>
        </x:is>
      </x:c>
      <x:c r="N74" s="3" t="inlineStr">
        <x:is>
          <x:t xml:space="preserve"/>
        </x:is>
      </x:c>
      <x:c r="O74" s="3" t="inlineStr">
        <x:is>
          <x:t xml:space="preserve"/>
        </x:is>
      </x:c>
      <x:c r="P74" s="26" t="str">
        <x:v>macvedacoes@gmail.com</x:v>
      </x:c>
      <x:c r="Q74" s="3" t="inlineStr">
        <x:is>
          <x:t xml:space="preserve"/>
        </x:is>
      </x:c>
      <x:c r="R74" s="5" t="n"/>
      <x:c r="S74" s="3" t="inlineStr">
        <x:is>
          <x:t xml:space="preserve"/>
        </x:is>
      </x:c>
      <x:c r="T74" s="3" t="inlineStr">
        <x:is>
          <x:t xml:space="preserve"/>
        </x:is>
      </x:c>
      <x:c r="U74" s="26" t="str">
        <x:v>https://www.instagram.com/p/CuuRCzBAF4m/</x:v>
      </x:c>
    </x:row>
    <x:row r="75">
      <x:c r="A75" s="2" t="n">
        <x:v>74</x:v>
      </x:c>
      <x:c r="B75" s="3" t="inlineStr">
        <x:is>
          <x:t xml:space="preserve">Qualived Vedações Industriais</x:t>
        </x:is>
      </x:c>
      <x:c r="C75" s="3" t="inlineStr">
        <x:is>
          <x:t xml:space="preserve">Vedações</x:t>
        </x:is>
      </x:c>
      <x:c r="D75" s="3" t="inlineStr">
        <x:is>
          <x:t xml:space="preserve">Jacareí</x:t>
        </x:is>
      </x:c>
      <x:c r="E75" s="2" t="inlineStr">
        <x:is>
          <x:t xml:space="preserve">SP</x:t>
        </x:is>
      </x:c>
      <x:c r="F75" s="2" t="inlineStr">
        <x:is>
          <x:t xml:space="preserve">Sudeste</x:t>
        </x:is>
      </x:c>
      <x:c r="G75" s="3" t="inlineStr">
        <x:is>
          <x:t xml:space="preserve">+55 12 3953-7044</x:t>
        </x:is>
      </x:c>
      <x:c r="H75" s="3" t="inlineStr">
        <x:is>
          <x:t xml:space="preserve">R. Barão de Jacareí, 1176 - Pq. Itamaraty</x:t>
        </x:is>
      </x:c>
      <x:c r="I75" s="4" t="n">
        <x:v>4.6</x:v>
      </x:c>
      <x:c r="J75" s="2" t="n">
        <x:v>72</x:v>
      </x:c>
      <x:c r="K75" s="2" t="n">
        <x:f>IF(OR(I75="",J75=""),"",IFERROR(ROUND(I75*LN(J75+1),1),""))</x:f>
        <x:v>19.7</x:v>
      </x:c>
      <x:c r="L75" s="2" t="str">
        <x:f>IF(K75="","Sem dados - qualificar",IF(K75&gt;=15,"A - Alta",IF(K75&gt;=8,"B - Média","C - Baixa")))</x:f>
        <x:v>A - Alta</x:v>
      </x:c>
      <x:c r="M75" s="2" t="inlineStr">
        <x:is>
          <x:t xml:space="preserve">Não contatado</x:t>
        </x:is>
      </x:c>
      <x:c r="N75" s="3" t="inlineStr">
        <x:is>
          <x:t xml:space="preserve"/>
        </x:is>
      </x:c>
      <x:c r="O75" s="3" t="inlineStr">
        <x:is>
          <x:t xml:space="preserve"/>
        </x:is>
      </x:c>
      <x:c r="P75" s="26" t="str">
        <x:v>qualived_vale@qualived.com.br</x:v>
      </x:c>
      <x:c r="Q75" s="3" t="inlineStr">
        <x:is>
          <x:t xml:space="preserve"/>
        </x:is>
      </x:c>
      <x:c r="R75" s="5" t="n"/>
      <x:c r="S75" s="3" t="inlineStr">
        <x:is>
          <x:t xml:space="preserve"/>
        </x:is>
      </x:c>
      <x:c r="T75" s="3" t="inlineStr">
        <x:is>
          <x:t xml:space="preserve"/>
        </x:is>
      </x:c>
      <x:c r="U75" s="26" t="str">
        <x:v>https://carabinasdear.com.br/caforum/index.php?/topic/530-órings/</x:v>
      </x:c>
    </x:row>
    <x:row r="76">
      <x:c r="A76" s="2" t="n">
        <x:v>75</x:v>
      </x:c>
      <x:c r="B76" s="3" t="inlineStr">
        <x:is>
          <x:t xml:space="preserve">Stampflex Soluções em Vedação</x:t>
        </x:is>
      </x:c>
      <x:c r="C76" s="3" t="inlineStr">
        <x:is>
          <x:t xml:space="preserve">Fabricante/Vedações</x:t>
        </x:is>
      </x:c>
      <x:c r="D76" s="3" t="inlineStr">
        <x:is>
          <x:t xml:space="preserve">Jacareí</x:t>
        </x:is>
      </x:c>
      <x:c r="E76" s="2" t="inlineStr">
        <x:is>
          <x:t xml:space="preserve">SP</x:t>
        </x:is>
      </x:c>
      <x:c r="F76" s="2" t="inlineStr">
        <x:is>
          <x:t xml:space="preserve">Sudeste</x:t>
        </x:is>
      </x:c>
      <x:c r="G76" s="3" t="inlineStr">
        <x:is>
          <x:t xml:space="preserve">+55 12 99774-9942</x:t>
        </x:is>
      </x:c>
      <x:c r="H76" s="3" t="inlineStr">
        <x:is>
          <x:t xml:space="preserve">Av. José Carlos Fernandes, 56</x:t>
        </x:is>
      </x:c>
      <x:c r="I76" s="4" t="n">
        <x:v>5</x:v>
      </x:c>
      <x:c r="J76" s="2" t="n">
        <x:v>5</x:v>
      </x:c>
      <x:c r="K76" s="2" t="n">
        <x:f>IF(OR(I76="",J76=""),"",IFERROR(ROUND(I76*LN(J76+1),1),""))</x:f>
        <x:v>9</x:v>
      </x:c>
      <x:c r="L76" s="2" t="str">
        <x:f>IF(K76="","Sem dados - qualificar",IF(K76&gt;=15,"A - Alta",IF(K76&gt;=8,"B - Média","C - Baixa")))</x:f>
        <x:v>B - Média</x:v>
      </x:c>
      <x:c r="M76" s="2" t="inlineStr">
        <x:is>
          <x:t xml:space="preserve">Não contatado</x:t>
        </x:is>
      </x:c>
      <x:c r="N76" s="3" t="inlineStr">
        <x:is>
          <x:t xml:space="preserve"/>
        </x:is>
      </x:c>
      <x:c r="O76" s="3" t="inlineStr">
        <x:is>
          <x:t xml:space="preserve"/>
        </x:is>
      </x:c>
      <x:c r="P76" s="26" t="str">
        <x:v>stampflex@stampflex.com.br</x:v>
      </x:c>
      <x:c r="Q76" s="3" t="inlineStr">
        <x:is>
          <x:t xml:space="preserve"/>
        </x:is>
      </x:c>
      <x:c r="R76" s="5" t="n"/>
      <x:c r="S76" s="3" t="inlineStr">
        <x:is>
          <x:t xml:space="preserve"/>
        </x:is>
      </x:c>
      <x:c r="T76" s="3" t="inlineStr">
        <x:is>
          <x:t xml:space="preserve"/>
        </x:is>
      </x:c>
      <x:c r="U76" s="26" t="str">
        <x:v>https://market.meettaiwan.com/taitraesource/upload/library_library/Siderurgia.pdf</x:v>
      </x:c>
    </x:row>
    <x:row r="77">
      <x:c r="A77" s="2" t="n">
        <x:v>76</x:v>
      </x:c>
      <x:c r="B77" s="3" t="inlineStr">
        <x:is>
          <x:t xml:space="preserve">Vale Seals Comércio e Serviços de Vedações</x:t>
        </x:is>
      </x:c>
      <x:c r="C77" s="3" t="inlineStr">
        <x:is>
          <x:t xml:space="preserve">Vedações</x:t>
        </x:is>
      </x:c>
      <x:c r="D77" s="3" t="inlineStr">
        <x:is>
          <x:t xml:space="preserve">Jacareí</x:t>
        </x:is>
      </x:c>
      <x:c r="E77" s="2" t="inlineStr">
        <x:is>
          <x:t xml:space="preserve">SP</x:t>
        </x:is>
      </x:c>
      <x:c r="F77" s="2" t="inlineStr">
        <x:is>
          <x:t xml:space="preserve">Sudeste</x:t>
        </x:is>
      </x:c>
      <x:c r="G77" s="3" t="inlineStr">
        <x:is>
          <x:t xml:space="preserve">+55 12 3953-3318</x:t>
        </x:is>
      </x:c>
      <x:c r="H77" s="3" t="inlineStr">
        <x:is>
          <x:t xml:space="preserve">Av. Antônio A. de Carvalho Rosa, 78</x:t>
        </x:is>
      </x:c>
      <x:c r="I77" s="4" t="n">
        <x:v>4.6</x:v>
      </x:c>
      <x:c r="J77" s="2" t="n">
        <x:v>25</x:v>
      </x:c>
      <x:c r="K77" s="2" t="n">
        <x:f>IF(OR(I77="",J77=""),"",IFERROR(ROUND(I77*LN(J77+1),1),""))</x:f>
        <x:v>15</x:v>
      </x:c>
      <x:c r="L77" s="2" t="str">
        <x:f>IF(K77="","Sem dados - qualificar",IF(K77&gt;=15,"A - Alta",IF(K77&gt;=8,"B - Média","C - Baixa")))</x:f>
        <x:v>A - Alta</x:v>
      </x:c>
      <x:c r="M77" s="2" t="inlineStr">
        <x:is>
          <x:t xml:space="preserve">Não contatado</x:t>
        </x:is>
      </x:c>
      <x:c r="N77" s="3" t="inlineStr">
        <x:is>
          <x:t xml:space="preserve"/>
        </x:is>
      </x:c>
      <x:c r="O77" s="3" t="inlineStr">
        <x:is>
          <x:t xml:space="preserve"/>
        </x:is>
      </x:c>
      <x:c r="P77" s="26" t="str">
        <x:v>contato@valeseals.com.br</x:v>
      </x:c>
      <x:c r="Q77" s="3" t="inlineStr">
        <x:is>
          <x:t xml:space="preserve"/>
        </x:is>
      </x:c>
      <x:c r="R77" s="5" t="n"/>
      <x:c r="S77" s="3" t="inlineStr">
        <x:is>
          <x:t xml:space="preserve"/>
        </x:is>
      </x:c>
      <x:c r="T77" s="3" t="inlineStr">
        <x:is>
          <x:t xml:space="preserve"/>
        </x:is>
      </x:c>
      <x:c r="U77" s="26" t="str">
        <x:v>https://www.valeseals.com.br/site/?page_id=1126</x:v>
      </x:c>
    </x:row>
    <x:row r="78">
      <x:c r="A78" s="2" t="n">
        <x:v>77</x:v>
      </x:c>
      <x:c r="B78" s="3" t="inlineStr">
        <x:is>
          <x:t xml:space="preserve">Agapro Vedações e Equipamentos Industriais</x:t>
        </x:is>
      </x:c>
      <x:c r="C78" s="3" t="inlineStr">
        <x:is>
          <x:t xml:space="preserve">Vedações</x:t>
        </x:is>
      </x:c>
      <x:c r="D78" s="3" t="inlineStr">
        <x:is>
          <x:t xml:space="preserve">Jundiaí</x:t>
        </x:is>
      </x:c>
      <x:c r="E78" s="2" t="inlineStr">
        <x:is>
          <x:t xml:space="preserve">SP</x:t>
        </x:is>
      </x:c>
      <x:c r="F78" s="2" t="inlineStr">
        <x:is>
          <x:t xml:space="preserve">Sudeste</x:t>
        </x:is>
      </x:c>
      <x:c r="G78" s="3" t="inlineStr">
        <x:is>
          <x:t xml:space="preserve">+55 11 4587-0905</x:t>
        </x:is>
      </x:c>
      <x:c r="H78" s="3" t="inlineStr">
        <x:is>
          <x:t xml:space="preserve">Av. Fernando Arens, 316 - Vila Arens</x:t>
        </x:is>
      </x:c>
      <x:c r="I78" s="4" t="n">
        <x:v>5</x:v>
      </x:c>
      <x:c r="J78" s="2" t="n">
        <x:v>1</x:v>
      </x:c>
      <x:c r="K78" s="2" t="n">
        <x:f>IF(OR(I78="",J78=""),"",IFERROR(ROUND(I78*LN(J78+1),1),""))</x:f>
        <x:v>3.5</x:v>
      </x:c>
      <x:c r="L78" s="2" t="str">
        <x:f>IF(K78="","Sem dados - qualificar",IF(K78&gt;=15,"A - Alta",IF(K78&gt;=8,"B - Média","C - Baixa")))</x:f>
        <x:v>C - Baixa</x:v>
      </x:c>
      <x:c r="M78" s="2" t="inlineStr">
        <x:is>
          <x:t xml:space="preserve">Não contatado</x:t>
        </x:is>
      </x:c>
      <x:c r="N78" s="3" t="inlineStr">
        <x:is>
          <x:t xml:space="preserve"/>
        </x:is>
      </x:c>
      <x:c r="O78" s="3" t="inlineStr">
        <x:is>
          <x:t xml:space="preserve"/>
        </x:is>
      </x:c>
      <x:c r="P78" s="26" t="str">
        <x:v>contato@agapro.com.br</x:v>
      </x:c>
      <x:c r="Q78" s="3" t="inlineStr">
        <x:is>
          <x:t xml:space="preserve"/>
        </x:is>
      </x:c>
      <x:c r="R78" s="5" t="n"/>
      <x:c r="S78" s="3" t="inlineStr">
        <x:is>
          <x:t xml:space="preserve"/>
        </x:is>
      </x:c>
      <x:c r="T78" s="3" t="inlineStr">
        <x:is>
          <x:t xml:space="preserve"/>
        </x:is>
      </x:c>
      <x:c r="U78" s="26" t="str">
        <x:v>https://agapro.com.br/</x:v>
      </x:c>
    </x:row>
    <x:row r="79">
      <x:c r="A79" s="2" t="n">
        <x:v>78</x:v>
      </x:c>
      <x:c r="B79" s="3" t="inlineStr">
        <x:is>
          <x:t xml:space="preserve">Mestra Vedações</x:t>
        </x:is>
      </x:c>
      <x:c r="C79" s="3" t="inlineStr">
        <x:is>
          <x:t xml:space="preserve">Vedações</x:t>
        </x:is>
      </x:c>
      <x:c r="D79" s="3" t="inlineStr">
        <x:is>
          <x:t xml:space="preserve">Jundiaí</x:t>
        </x:is>
      </x:c>
      <x:c r="E79" s="2" t="inlineStr">
        <x:is>
          <x:t xml:space="preserve">SP</x:t>
        </x:is>
      </x:c>
      <x:c r="F79" s="2" t="inlineStr">
        <x:is>
          <x:t xml:space="preserve">Sudeste</x:t>
        </x:is>
      </x:c>
      <x:c r="G79" s="3" t="inlineStr">
        <x:is>
          <x:t xml:space="preserve">+55 11 4527-6800</x:t>
        </x:is>
      </x:c>
      <x:c r="H79" s="3" t="inlineStr">
        <x:is>
          <x:t xml:space="preserve">R. Bom Jesus de Pirapora, 1183</x:t>
        </x:is>
      </x:c>
      <x:c r="I79" s="4" t="n">
        <x:v>4.8</x:v>
      </x:c>
      <x:c r="J79" s="2" t="n">
        <x:v>20</x:v>
      </x:c>
      <x:c r="K79" s="2" t="n">
        <x:f>IF(OR(I79="",J79=""),"",IFERROR(ROUND(I79*LN(J79+1),1),""))</x:f>
        <x:v>14.6</x:v>
      </x:c>
      <x:c r="L79" s="2" t="str">
        <x:f>IF(K79="","Sem dados - qualificar",IF(K79&gt;=15,"A - Alta",IF(K79&gt;=8,"B - Média","C - Baixa")))</x:f>
        <x:v>B - Média</x:v>
      </x:c>
      <x:c r="M79" s="2" t="inlineStr">
        <x:is>
          <x:t xml:space="preserve">Não contatado</x:t>
        </x:is>
      </x:c>
      <x:c r="N79" s="3" t="inlineStr">
        <x:is>
          <x:t xml:space="preserve"/>
        </x:is>
      </x:c>
      <x:c r="O79" s="3" t="inlineStr">
        <x:is>
          <x:t xml:space="preserve"/>
        </x:is>
      </x:c>
      <x:c r="P79" s="26" t="str">
        <x:v>contato@mestravedacoes.com.br</x:v>
      </x:c>
      <x:c r="Q79" s="3" t="inlineStr">
        <x:is>
          <x:t xml:space="preserve"/>
        </x:is>
      </x:c>
      <x:c r="R79" s="5" t="n"/>
      <x:c r="S79" s="3" t="inlineStr">
        <x:is>
          <x:t xml:space="preserve"/>
        </x:is>
      </x:c>
      <x:c r="T79" s="3" t="inlineStr">
        <x:is>
          <x:t xml:space="preserve"/>
        </x:is>
      </x:c>
      <x:c r="U79" s="26" t="str">
        <x:v>https://mestravedacoes.com.br/</x:v>
      </x:c>
    </x:row>
    <x:row r="80">
      <x:c r="A80" s="2" t="n">
        <x:v>79</x:v>
      </x:c>
      <x:c r="B80" s="3" t="inlineStr">
        <x:is>
          <x:t xml:space="preserve">Nascente Bearings Sealings</x:t>
        </x:is>
      </x:c>
      <x:c r="C80" s="3" t="inlineStr">
        <x:is>
          <x:t xml:space="preserve">Rolamentos/Vedações</x:t>
        </x:is>
      </x:c>
      <x:c r="D80" s="3" t="inlineStr">
        <x:is>
          <x:t xml:space="preserve">Jundiaí</x:t>
        </x:is>
      </x:c>
      <x:c r="E80" s="2" t="inlineStr">
        <x:is>
          <x:t xml:space="preserve">SP</x:t>
        </x:is>
      </x:c>
      <x:c r="F80" s="2" t="inlineStr">
        <x:is>
          <x:t xml:space="preserve">Sudeste</x:t>
        </x:is>
      </x:c>
      <x:c r="G80" s="3" t="inlineStr">
        <x:is>
          <x:t xml:space="preserve">+55 11 4583-4848</x:t>
        </x:is>
      </x:c>
      <x:c r="H80" s="3" t="inlineStr">
        <x:is>
          <x:t xml:space="preserve">R. Bom Jesus de Pirapora, 365</x:t>
        </x:is>
      </x:c>
      <x:c r="I80" s="4" t="n">
        <x:v>5</x:v>
      </x:c>
      <x:c r="J80" s="2" t="n">
        <x:v>6</x:v>
      </x:c>
      <x:c r="K80" s="2" t="n">
        <x:f>IF(OR(I80="",J80=""),"",IFERROR(ROUND(I80*LN(J80+1),1),""))</x:f>
        <x:v>9.7</x:v>
      </x:c>
      <x:c r="L80" s="2" t="str">
        <x:f>IF(K80="","Sem dados - qualificar",IF(K80&gt;=15,"A - Alta",IF(K80&gt;=8,"B - Média","C - Baixa")))</x:f>
        <x:v>B - Média</x:v>
      </x:c>
      <x:c r="M80" s="2" t="inlineStr">
        <x:is>
          <x:t xml:space="preserve">Não contatado</x:t>
        </x:is>
      </x:c>
      <x:c r="N80" s="3" t="inlineStr">
        <x:is>
          <x:t xml:space="preserve"/>
        </x:is>
      </x:c>
      <x:c r="O80" s="3" t="inlineStr">
        <x:is>
          <x:t xml:space="preserve"/>
        </x:is>
      </x:c>
      <x:c r="P80" s="26" t="str">
        <x:v>nascente@nascenterolamentos.com.br</x:v>
      </x:c>
      <x:c r="Q80" s="3" t="inlineStr">
        <x:is>
          <x:t xml:space="preserve"/>
        </x:is>
      </x:c>
      <x:c r="R80" s="5" t="n"/>
      <x:c r="S80" s="3" t="inlineStr">
        <x:is>
          <x:t xml:space="preserve"/>
        </x:is>
      </x:c>
      <x:c r="T80" s="3" t="inlineStr">
        <x:is>
          <x:t xml:space="preserve"/>
        </x:is>
      </x:c>
      <x:c r="U80" s="26" t="str">
        <x:v>https://nascenterolamentos.com.br/</x:v>
      </x:c>
    </x:row>
    <x:row r="81">
      <x:c r="A81" s="2" t="n">
        <x:v>80</x:v>
      </x:c>
      <x:c r="B81" s="3" t="inlineStr">
        <x:is>
          <x:t xml:space="preserve">Retenfix Ind. e Com. de Vedações Industriais</x:t>
        </x:is>
      </x:c>
      <x:c r="C81" s="3" t="inlineStr">
        <x:is>
          <x:t xml:space="preserve">Vedações</x:t>
        </x:is>
      </x:c>
      <x:c r="D81" s="3" t="inlineStr">
        <x:is>
          <x:t xml:space="preserve">Jundiaí</x:t>
        </x:is>
      </x:c>
      <x:c r="E81" s="2" t="inlineStr">
        <x:is>
          <x:t xml:space="preserve">SP</x:t>
        </x:is>
      </x:c>
      <x:c r="F81" s="2" t="inlineStr">
        <x:is>
          <x:t xml:space="preserve">Sudeste</x:t>
        </x:is>
      </x:c>
      <x:c r="G81" s="3" t="inlineStr">
        <x:is>
          <x:t xml:space="preserve">+55 11 4492-2112</x:t>
        </x:is>
      </x:c>
      <x:c r="H81" s="3" t="inlineStr">
        <x:is>
          <x:t xml:space="preserve">R. Bom Jesus de Pirapora, 694</x:t>
        </x:is>
      </x:c>
      <x:c r="I81" s="4" t="n">
        <x:v>4.9</x:v>
      </x:c>
      <x:c r="J81" s="2" t="n">
        <x:v>17</x:v>
      </x:c>
      <x:c r="K81" s="2" t="n">
        <x:f>IF(OR(I81="",J81=""),"",IFERROR(ROUND(I81*LN(J81+1),1),""))</x:f>
        <x:v>14.2</x:v>
      </x:c>
      <x:c r="L81" s="2" t="str">
        <x:f>IF(K81="","Sem dados - qualificar",IF(K81&gt;=15,"A - Alta",IF(K81&gt;=8,"B - Média","C - Baixa")))</x:f>
        <x:v>B - Média</x:v>
      </x:c>
      <x:c r="M81" s="2" t="inlineStr">
        <x:is>
          <x:t xml:space="preserve">Não contatado</x:t>
        </x:is>
      </x:c>
      <x:c r="N81" s="3" t="inlineStr">
        <x:is>
          <x:t xml:space="preserve"/>
        </x:is>
      </x:c>
      <x:c r="O81" s="3" t="inlineStr">
        <x:is>
          <x:t xml:space="preserve"/>
        </x:is>
      </x:c>
      <x:c r="P81" s="26" t="str">
        <x:v>comercial@retenfixjundiai.com.br</x:v>
      </x:c>
      <x:c r="Q81" s="3" t="inlineStr">
        <x:is>
          <x:t xml:space="preserve"/>
        </x:is>
      </x:c>
      <x:c r="R81" s="5" t="n"/>
      <x:c r="S81" s="3" t="inlineStr">
        <x:is>
          <x:t xml:space="preserve"/>
        </x:is>
      </x:c>
      <x:c r="T81" s="3" t="inlineStr">
        <x:is>
          <x:t xml:space="preserve"/>
        </x:is>
      </x:c>
      <x:c r="U81" s="26" t="str">
        <x:v>https://retenfix.com.br/contato/</x:v>
      </x:c>
    </x:row>
    <x:row r="82">
      <x:c r="A82" s="2" t="n">
        <x:v>81</x:v>
      </x:c>
      <x:c r="B82" s="3" t="inlineStr">
        <x:is>
          <x:t xml:space="preserve">Retentive Accessories</x:t>
        </x:is>
      </x:c>
      <x:c r="C82" s="3" t="inlineStr">
        <x:is>
          <x:t xml:space="preserve">Vedações</x:t>
        </x:is>
      </x:c>
      <x:c r="D82" s="3" t="inlineStr">
        <x:is>
          <x:t xml:space="preserve">Jundiaí</x:t>
        </x:is>
      </x:c>
      <x:c r="E82" s="2" t="inlineStr">
        <x:is>
          <x:t xml:space="preserve">SP</x:t>
        </x:is>
      </x:c>
      <x:c r="F82" s="2" t="inlineStr">
        <x:is>
          <x:t xml:space="preserve">Sudeste</x:t>
        </x:is>
      </x:c>
      <x:c r="G82" s="3" t="inlineStr">
        <x:is>
          <x:t xml:space="preserve">+55 11 4586-5095</x:t>
        </x:is>
      </x:c>
      <x:c r="H82" s="3" t="inlineStr">
        <x:is>
          <x:t xml:space="preserve">R. Bom Jesus de Pirapora, 584 - Vila Vianelo</x:t>
        </x:is>
      </x:c>
      <x:c r="I82" s="4" t="n">
        <x:v>4.3</x:v>
      </x:c>
      <x:c r="J82" s="2" t="n">
        <x:v>168</x:v>
      </x:c>
      <x:c r="K82" s="2" t="n">
        <x:f>IF(OR(I82="",J82=""),"",IFERROR(ROUND(I82*LN(J82+1),1),""))</x:f>
        <x:v>22.1</x:v>
      </x:c>
      <x:c r="L82" s="2" t="str">
        <x:f>IF(K82="","Sem dados - qualificar",IF(K82&gt;=15,"A - Alta",IF(K82&gt;=8,"B - Média","C - Baixa")))</x:f>
        <x:v>A - Alta</x:v>
      </x:c>
      <x:c r="M82" s="2" t="inlineStr">
        <x:is>
          <x:t xml:space="preserve">Não contatado</x:t>
        </x:is>
      </x:c>
      <x:c r="N82" s="3" t="inlineStr">
        <x:is>
          <x:t xml:space="preserve"/>
        </x:is>
      </x:c>
      <x:c r="O82" s="3" t="inlineStr">
        <x:is>
          <x:t xml:space="preserve"/>
        </x:is>
      </x:c>
      <x:c r="P82" s="26" t="str">
        <x:v>vendas@retentive.com.br</x:v>
      </x:c>
      <x:c r="Q82" s="3" t="inlineStr">
        <x:is>
          <x:t xml:space="preserve"/>
        </x:is>
      </x:c>
      <x:c r="R82" s="5" t="n"/>
      <x:c r="S82" s="3" t="inlineStr">
        <x:is>
          <x:t xml:space="preserve"/>
        </x:is>
      </x:c>
      <x:c r="T82" s="3" t="inlineStr">
        <x:is>
          <x:t xml:space="preserve"/>
        </x:is>
      </x:c>
      <x:c r="U82" s="26" t="str">
        <x:v>https://www.retentive.com.br/contato.htm</x:v>
      </x:c>
    </x:row>
    <x:row r="83">
      <x:c r="A83" s="2" t="n">
        <x:v>82</x:v>
      </x:c>
      <x:c r="B83" s="3" t="inlineStr">
        <x:is>
          <x:t xml:space="preserve">Tuli Vedações Industriais</x:t>
        </x:is>
      </x:c>
      <x:c r="C83" s="3" t="inlineStr">
        <x:is>
          <x:t xml:space="preserve">Fabricante/Vedações</x:t>
        </x:is>
      </x:c>
      <x:c r="D83" s="3" t="inlineStr">
        <x:is>
          <x:t xml:space="preserve">Jundiaí</x:t>
        </x:is>
      </x:c>
      <x:c r="E83" s="2" t="inlineStr">
        <x:is>
          <x:t xml:space="preserve">SP</x:t>
        </x:is>
      </x:c>
      <x:c r="F83" s="2" t="inlineStr">
        <x:is>
          <x:t xml:space="preserve">Sudeste</x:t>
        </x:is>
      </x:c>
      <x:c r="G83" s="3" t="inlineStr">
        <x:is>
          <x:t xml:space="preserve">+55 11 4522-7704</x:t>
        </x:is>
      </x:c>
      <x:c r="H83" s="3" t="inlineStr">
        <x:is>
          <x:t xml:space="preserve">R. 23 de Maio, 469 - Vila Vianelo</x:t>
        </x:is>
      </x:c>
      <x:c r="I83" s="4" t="n">
        <x:v>5</x:v>
      </x:c>
      <x:c r="J83" s="2" t="n">
        <x:v>18</x:v>
      </x:c>
      <x:c r="K83" s="2" t="n">
        <x:f>IF(OR(I83="",J83=""),"",IFERROR(ROUND(I83*LN(J83+1),1),""))</x:f>
        <x:v>14.7</x:v>
      </x:c>
      <x:c r="L83" s="2" t="str">
        <x:f>IF(K83="","Sem dados - qualificar",IF(K83&gt;=15,"A - Alta",IF(K83&gt;=8,"B - Média","C - Baixa")))</x:f>
        <x:v>B - Média</x:v>
      </x:c>
      <x:c r="M83" s="2" t="inlineStr">
        <x:is>
          <x:t xml:space="preserve">Não contatado</x:t>
        </x:is>
      </x:c>
      <x:c r="N83" s="3" t="inlineStr">
        <x:is>
          <x:t xml:space="preserve"/>
        </x:is>
      </x:c>
      <x:c r="O83" s="3" t="inlineStr">
        <x:is>
          <x:t xml:space="preserve"/>
        </x:is>
      </x:c>
      <x:c r="P83" s="26" t="str"/>
      <x:c r="Q83" s="3" t="inlineStr">
        <x:is>
          <x:t xml:space="preserve"/>
        </x:is>
      </x:c>
      <x:c r="R83" s="5" t="n"/>
      <x:c r="S83" s="3" t="inlineStr">
        <x:is>
          <x:t xml:space="preserve"/>
        </x:is>
      </x:c>
      <x:c r="T83" s="3" t="inlineStr">
        <x:is>
          <x:t xml:space="preserve"/>
        </x:is>
      </x:c>
      <x:c r="U83" s="26" t="str">
        <x:v>Não localizado em fonte pública confiável até 24/07/2026</x:v>
      </x:c>
    </x:row>
    <x:row r="84">
      <x:c r="A84" s="2" t="n">
        <x:v>83</x:v>
      </x:c>
      <x:c r="B84" s="3" t="inlineStr">
        <x:is>
          <x:t xml:space="preserve">WL Vedações</x:t>
        </x:is>
      </x:c>
      <x:c r="C84" s="3" t="inlineStr">
        <x:is>
          <x:t xml:space="preserve">Fabricante/Vedações</x:t>
        </x:is>
      </x:c>
      <x:c r="D84" s="3" t="inlineStr">
        <x:is>
          <x:t xml:space="preserve">Jundiaí</x:t>
        </x:is>
      </x:c>
      <x:c r="E84" s="2" t="inlineStr">
        <x:is>
          <x:t xml:space="preserve">SP</x:t>
        </x:is>
      </x:c>
      <x:c r="F84" s="2" t="inlineStr">
        <x:is>
          <x:t xml:space="preserve">Sudeste</x:t>
        </x:is>
      </x:c>
      <x:c r="G84" s="3" t="inlineStr">
        <x:is>
          <x:t xml:space="preserve">+55 11 4527-2507</x:t>
        </x:is>
      </x:c>
      <x:c r="H84" s="3" t="inlineStr">
        <x:is>
          <x:t xml:space="preserve">Av. São Paulo, 1530 - Vila Progresso</x:t>
        </x:is>
      </x:c>
      <x:c r="I84" s="4" t="n">
        <x:v>5</x:v>
      </x:c>
      <x:c r="J84" s="2" t="n">
        <x:v>1</x:v>
      </x:c>
      <x:c r="K84" s="2" t="n">
        <x:f>IF(OR(I84="",J84=""),"",IFERROR(ROUND(I84*LN(J84+1),1),""))</x:f>
        <x:v>3.5</x:v>
      </x:c>
      <x:c r="L84" s="2" t="str">
        <x:f>IF(K84="","Sem dados - qualificar",IF(K84&gt;=15,"A - Alta",IF(K84&gt;=8,"B - Média","C - Baixa")))</x:f>
        <x:v>C - Baixa</x:v>
      </x:c>
      <x:c r="M84" s="2" t="inlineStr">
        <x:is>
          <x:t xml:space="preserve">Não contatado</x:t>
        </x:is>
      </x:c>
      <x:c r="N84" s="3" t="inlineStr">
        <x:is>
          <x:t xml:space="preserve"/>
        </x:is>
      </x:c>
      <x:c r="O84" s="3" t="inlineStr">
        <x:is>
          <x:t xml:space="preserve"/>
        </x:is>
      </x:c>
      <x:c r="P84" s="26" t="str">
        <x:v>financeiro@wlvedacoes.com.br</x:v>
      </x:c>
      <x:c r="Q84" s="3" t="inlineStr">
        <x:is>
          <x:t xml:space="preserve"/>
        </x:is>
      </x:c>
      <x:c r="R84" s="5" t="n"/>
      <x:c r="S84" s="3" t="inlineStr">
        <x:is>
          <x:t xml:space="preserve"/>
        </x:is>
      </x:c>
      <x:c r="T84" s="3" t="inlineStr">
        <x:is>
          <x:t xml:space="preserve"/>
        </x:is>
      </x:c>
      <x:c r="U84" s="26" t="str">
        <x:v>https://cnpjcheck.com.br/empresa/wl-comercio-de-vedacoes-ltda-wl-vedacoes-22045622000250</x:v>
      </x:c>
    </x:row>
    <x:row r="85">
      <x:c r="A85" s="2" t="n">
        <x:v>84</x:v>
      </x:c>
      <x:c r="B85" s="3" t="inlineStr">
        <x:is>
          <x:t xml:space="preserve">WL Vedações Industriais</x:t>
        </x:is>
      </x:c>
      <x:c r="C85" s="3" t="inlineStr">
        <x:is>
          <x:t xml:space="preserve">Vedações</x:t>
        </x:is>
      </x:c>
      <x:c r="D85" s="3" t="inlineStr">
        <x:is>
          <x:t xml:space="preserve">Jundiaí</x:t>
        </x:is>
      </x:c>
      <x:c r="E85" s="2" t="inlineStr">
        <x:is>
          <x:t xml:space="preserve">SP</x:t>
        </x:is>
      </x:c>
      <x:c r="F85" s="2" t="inlineStr">
        <x:is>
          <x:t xml:space="preserve">Sudeste</x:t>
        </x:is>
      </x:c>
      <x:c r="G85" s="3" t="inlineStr">
        <x:is>
          <x:t xml:space="preserve">+55 11 3964-0386</x:t>
        </x:is>
      </x:c>
      <x:c r="H85" s="3" t="inlineStr">
        <x:is>
          <x:t xml:space="preserve">Rua Jz Wesley, 197 - Pq. do Colégio</x:t>
        </x:is>
      </x:c>
      <x:c r="I85" s="4" t="n"/>
      <x:c r="J85" s="2" t="n"/>
      <x:c r="K85" s="2" t="str">
        <x:f>IF(OR(I85="",J85=""),"",IFERROR(ROUND(I85*LN(J85+1),1),""))</x:f>
      </x:c>
      <x:c r="L85" s="2" t="str">
        <x:f>IF(K85="","Sem dados - qualificar",IF(K85&gt;=15,"A - Alta",IF(K85&gt;=8,"B - Média","C - Baixa")))</x:f>
        <x:v>Sem dados - qualificar</x:v>
      </x:c>
      <x:c r="M85" s="2" t="inlineStr">
        <x:is>
          <x:t xml:space="preserve">Não contatado</x:t>
        </x:is>
      </x:c>
      <x:c r="N85" s="3" t="inlineStr">
        <x:is>
          <x:t xml:space="preserve"/>
        </x:is>
      </x:c>
      <x:c r="O85" s="3" t="inlineStr">
        <x:is>
          <x:t xml:space="preserve"/>
        </x:is>
      </x:c>
      <x:c r="P85" s="26" t="str"/>
      <x:c r="Q85" s="3" t="inlineStr">
        <x:is>
          <x:t xml:space="preserve"/>
        </x:is>
      </x:c>
      <x:c r="R85" s="5" t="n"/>
      <x:c r="S85" s="3" t="inlineStr">
        <x:is>
          <x:t xml:space="preserve"/>
        </x:is>
      </x:c>
      <x:c r="T85" s="3" t="inlineStr">
        <x:is>
          <x:t xml:space="preserve"/>
        </x:is>
      </x:c>
      <x:c r="U85" s="26" t="str">
        <x:v>Não localizado em fonte pública confiável até 24/07/2026</x:v>
      </x:c>
    </x:row>
    <x:row r="86">
      <x:c r="A86" s="2" t="n">
        <x:v>85</x:v>
      </x:c>
      <x:c r="B86" s="3" t="inlineStr">
        <x:is>
          <x:t xml:space="preserve">AM Vedações</x:t>
        </x:is>
      </x:c>
      <x:c r="C86" s="3" t="inlineStr">
        <x:is>
          <x:t xml:space="preserve">Fabricante/Vedações</x:t>
        </x:is>
      </x:c>
      <x:c r="D86" s="3" t="inlineStr">
        <x:is>
          <x:t xml:space="preserve">Limeira</x:t>
        </x:is>
      </x:c>
      <x:c r="E86" s="2" t="inlineStr">
        <x:is>
          <x:t xml:space="preserve">SP</x:t>
        </x:is>
      </x:c>
      <x:c r="F86" s="2" t="inlineStr">
        <x:is>
          <x:t xml:space="preserve">Sudeste</x:t>
        </x:is>
      </x:c>
      <x:c r="G86" s="3" t="inlineStr">
        <x:is>
          <x:t xml:space="preserve">+55 19 3440-3223</x:t>
        </x:is>
      </x:c>
      <x:c r="H86" s="3" t="inlineStr">
        <x:is>
          <x:t xml:space="preserve">R. Prof. Martha M. Araújo, 521</x:t>
        </x:is>
      </x:c>
      <x:c r="I86" s="4" t="n">
        <x:v>5</x:v>
      </x:c>
      <x:c r="J86" s="2" t="n">
        <x:v>1</x:v>
      </x:c>
      <x:c r="K86" s="2" t="n">
        <x:f>IF(OR(I86="",J86=""),"",IFERROR(ROUND(I86*LN(J86+1),1),""))</x:f>
        <x:v>3.5</x:v>
      </x:c>
      <x:c r="L86" s="2" t="str">
        <x:f>IF(K86="","Sem dados - qualificar",IF(K86&gt;=15,"A - Alta",IF(K86&gt;=8,"B - Média","C - Baixa")))</x:f>
        <x:v>C - Baixa</x:v>
      </x:c>
      <x:c r="M86" s="2" t="inlineStr">
        <x:is>
          <x:t xml:space="preserve">Não contatado</x:t>
        </x:is>
      </x:c>
      <x:c r="N86" s="3" t="inlineStr">
        <x:is>
          <x:t xml:space="preserve"/>
        </x:is>
      </x:c>
      <x:c r="O86" s="3" t="inlineStr">
        <x:is>
          <x:t xml:space="preserve"/>
        </x:is>
      </x:c>
      <x:c r="P86" s="26" t="str">
        <x:v>vendas@amvedacoes.com.br</x:v>
      </x:c>
      <x:c r="Q86" s="3" t="inlineStr">
        <x:is>
          <x:t xml:space="preserve"/>
        </x:is>
      </x:c>
      <x:c r="R86" s="5" t="n"/>
      <x:c r="S86" s="3" t="inlineStr">
        <x:is>
          <x:t xml:space="preserve"/>
        </x:is>
      </x:c>
      <x:c r="T86" s="3" t="inlineStr">
        <x:is>
          <x:t xml:space="preserve"/>
        </x:is>
      </x:c>
      <x:c r="U86" s="26" t="str">
        <x:v>https://www.instagram.com/amvedacoes/</x:v>
      </x:c>
    </x:row>
    <x:row r="87">
      <x:c r="A87" s="2" t="n">
        <x:v>86</x:v>
      </x:c>
      <x:c r="B87" s="3" t="inlineStr">
        <x:is>
          <x:t xml:space="preserve">Brasveda Comércio de Acessórios Industriais e Vedações</x:t>
        </x:is>
      </x:c>
      <x:c r="C87" s="3" t="inlineStr">
        <x:is>
          <x:t xml:space="preserve">Vedações</x:t>
        </x:is>
      </x:c>
      <x:c r="D87" s="3" t="inlineStr">
        <x:is>
          <x:t xml:space="preserve">Limeira</x:t>
        </x:is>
      </x:c>
      <x:c r="E87" s="2" t="inlineStr">
        <x:is>
          <x:t xml:space="preserve">SP</x:t>
        </x:is>
      </x:c>
      <x:c r="F87" s="2" t="inlineStr">
        <x:is>
          <x:t xml:space="preserve">Sudeste</x:t>
        </x:is>
      </x:c>
      <x:c r="G87" s="3" t="inlineStr">
        <x:is>
          <x:t xml:space="preserve">+55 19 3404-4050</x:t>
        </x:is>
      </x:c>
      <x:c r="H87" s="3" t="inlineStr">
        <x:is>
          <x:t xml:space="preserve">Av. Araras, 1290 - Ch. São José</x:t>
        </x:is>
      </x:c>
      <x:c r="I87" s="4" t="n">
        <x:v>4.4</x:v>
      </x:c>
      <x:c r="J87" s="2" t="n">
        <x:v>120</x:v>
      </x:c>
      <x:c r="K87" s="2" t="n">
        <x:f>IF(OR(I87="",J87=""),"",IFERROR(ROUND(I87*LN(J87+1),1),""))</x:f>
        <x:v>21.1</x:v>
      </x:c>
      <x:c r="L87" s="2" t="str">
        <x:f>IF(K87="","Sem dados - qualificar",IF(K87&gt;=15,"A - Alta",IF(K87&gt;=8,"B - Média","C - Baixa")))</x:f>
        <x:v>A - Alta</x:v>
      </x:c>
      <x:c r="M87" s="2" t="inlineStr">
        <x:is>
          <x:t xml:space="preserve">Não contatado</x:t>
        </x:is>
      </x:c>
      <x:c r="N87" s="3" t="inlineStr">
        <x:is>
          <x:t xml:space="preserve"/>
        </x:is>
      </x:c>
      <x:c r="O87" s="3" t="inlineStr">
        <x:is>
          <x:t xml:space="preserve"/>
        </x:is>
      </x:c>
      <x:c r="P87" s="26" t="str">
        <x:v>loja@brasveda.com.br</x:v>
      </x:c>
      <x:c r="Q87" s="3" t="inlineStr">
        <x:is>
          <x:t xml:space="preserve"/>
        </x:is>
      </x:c>
      <x:c r="R87" s="5" t="n"/>
      <x:c r="S87" s="3" t="inlineStr">
        <x:is>
          <x:t xml:space="preserve"/>
        </x:is>
      </x:c>
      <x:c r="T87" s="3" t="inlineStr">
        <x:is>
          <x:t xml:space="preserve"/>
        </x:is>
      </x:c>
      <x:c r="U87" s="26" t="str">
        <x:v>https://loja.brasveda.com.br/contato</x:v>
      </x:c>
    </x:row>
    <x:row r="88">
      <x:c r="A88" s="2" t="n">
        <x:v>87</x:v>
      </x:c>
      <x:c r="B88" s="3" t="inlineStr">
        <x:is>
          <x:t xml:space="preserve">Real Vedações</x:t>
        </x:is>
      </x:c>
      <x:c r="C88" s="3" t="inlineStr">
        <x:is>
          <x:t xml:space="preserve">Fabricante/Vedações</x:t>
        </x:is>
      </x:c>
      <x:c r="D88" s="3" t="inlineStr">
        <x:is>
          <x:t xml:space="preserve">Limeira</x:t>
        </x:is>
      </x:c>
      <x:c r="E88" s="2" t="inlineStr">
        <x:is>
          <x:t xml:space="preserve">SP</x:t>
        </x:is>
      </x:c>
      <x:c r="F88" s="2" t="inlineStr">
        <x:is>
          <x:t xml:space="preserve">Sudeste</x:t>
        </x:is>
      </x:c>
      <x:c r="G88" s="3" t="inlineStr">
        <x:is>
          <x:t xml:space="preserve">+55 19 3444-6737</x:t>
        </x:is>
      </x:c>
      <x:c r="H88" s="3" t="inlineStr">
        <x:is>
          <x:t xml:space="preserve">R. Melvin Jones, 433 - Vila Piza</x:t>
        </x:is>
      </x:c>
      <x:c r="I88" s="4" t="n">
        <x:v>4.7</x:v>
      </x:c>
      <x:c r="J88" s="2" t="n">
        <x:v>19</x:v>
      </x:c>
      <x:c r="K88" s="2" t="n">
        <x:f>IF(OR(I88="",J88=""),"",IFERROR(ROUND(I88*LN(J88+1),1),""))</x:f>
        <x:v>14.1</x:v>
      </x:c>
      <x:c r="L88" s="2" t="str">
        <x:f>IF(K88="","Sem dados - qualificar",IF(K88&gt;=15,"A - Alta",IF(K88&gt;=8,"B - Média","C - Baixa")))</x:f>
        <x:v>B - Média</x:v>
      </x:c>
      <x:c r="M88" s="2" t="inlineStr">
        <x:is>
          <x:t xml:space="preserve">Não contatado</x:t>
        </x:is>
      </x:c>
      <x:c r="N88" s="3" t="inlineStr">
        <x:is>
          <x:t xml:space="preserve"/>
        </x:is>
      </x:c>
      <x:c r="O88" s="3" t="inlineStr">
        <x:is>
          <x:t xml:space="preserve"/>
        </x:is>
      </x:c>
      <x:c r="P88" s="26" t="str">
        <x:v>real@realvedacoes.com.br</x:v>
      </x:c>
      <x:c r="Q88" s="3" t="inlineStr">
        <x:is>
          <x:t xml:space="preserve"/>
        </x:is>
      </x:c>
      <x:c r="R88" s="5" t="n"/>
      <x:c r="S88" s="3" t="inlineStr">
        <x:is>
          <x:t xml:space="preserve"/>
        </x:is>
      </x:c>
      <x:c r="T88" s="3" t="inlineStr">
        <x:is>
          <x:t xml:space="preserve"/>
        </x:is>
      </x:c>
      <x:c r="U88" s="26" t="str">
        <x:v>https://www.realvedacoes.com.br/contato</x:v>
      </x:c>
    </x:row>
    <x:row r="89">
      <x:c r="A89" s="2" t="n">
        <x:v>88</x:v>
      </x:c>
      <x:c r="B89" s="3" t="inlineStr">
        <x:is>
          <x:t xml:space="preserve">Vedamar Vedação e Fixação</x:t>
        </x:is>
      </x:c>
      <x:c r="C89" s="3" t="inlineStr">
        <x:is>
          <x:t xml:space="preserve">Vedações</x:t>
        </x:is>
      </x:c>
      <x:c r="D89" s="3" t="inlineStr">
        <x:is>
          <x:t xml:space="preserve">Marília</x:t>
        </x:is>
      </x:c>
      <x:c r="E89" s="2" t="inlineStr">
        <x:is>
          <x:t xml:space="preserve">SP</x:t>
        </x:is>
      </x:c>
      <x:c r="F89" s="2" t="inlineStr">
        <x:is>
          <x:t xml:space="preserve">Sudeste</x:t>
        </x:is>
      </x:c>
      <x:c r="G89" s="3" t="inlineStr">
        <x:is>
          <x:t xml:space="preserve">+55 14 3433-2844</x:t>
        </x:is>
      </x:c>
      <x:c r="H89" s="3" t="inlineStr">
        <x:is>
          <x:t xml:space="preserve">Av. Santo Antônio, 2462 - Somenzari</x:t>
        </x:is>
      </x:c>
      <x:c r="I89" s="4" t="n">
        <x:v>4.7</x:v>
      </x:c>
      <x:c r="J89" s="2" t="n">
        <x:v>30</x:v>
      </x:c>
      <x:c r="K89" s="2" t="n">
        <x:f>IF(OR(I89="",J89=""),"",IFERROR(ROUND(I89*LN(J89+1),1),""))</x:f>
        <x:v>16.1</x:v>
      </x:c>
      <x:c r="L89" s="2" t="str">
        <x:f>IF(K89="","Sem dados - qualificar",IF(K89&gt;=15,"A - Alta",IF(K89&gt;=8,"B - Média","C - Baixa")))</x:f>
        <x:v>A - Alta</x:v>
      </x:c>
      <x:c r="M89" s="2" t="inlineStr">
        <x:is>
          <x:t xml:space="preserve">Não contatado</x:t>
        </x:is>
      </x:c>
      <x:c r="N89" s="3" t="inlineStr">
        <x:is>
          <x:t xml:space="preserve"/>
        </x:is>
      </x:c>
      <x:c r="O89" s="3" t="inlineStr">
        <x:is>
          <x:t xml:space="preserve"/>
        </x:is>
      </x:c>
      <x:c r="P89" s="26" t="str">
        <x:v>vedamar@vedamar.com.br</x:v>
      </x:c>
      <x:c r="Q89" s="3" t="inlineStr">
        <x:is>
          <x:t xml:space="preserve"/>
        </x:is>
      </x:c>
      <x:c r="R89" s="5" t="n"/>
      <x:c r="S89" s="3" t="inlineStr">
        <x:is>
          <x:t xml:space="preserve"/>
        </x:is>
      </x:c>
      <x:c r="T89" s="3" t="inlineStr">
        <x:is>
          <x:t xml:space="preserve"/>
        </x:is>
      </x:c>
      <x:c r="U89" s="26" t="str">
        <x:v>https://www.vedamar.com.br/</x:v>
      </x:c>
    </x:row>
    <x:row r="90">
      <x:c r="A90" s="2" t="n">
        <x:v>89</x:v>
      </x:c>
      <x:c r="B90" s="3" t="inlineStr">
        <x:is>
          <x:t xml:space="preserve">Fatruwal Vedações Industriais em Borracha</x:t>
        </x:is>
      </x:c>
      <x:c r="C90" s="3" t="inlineStr">
        <x:is>
          <x:t xml:space="preserve">Fabricante/Vedações</x:t>
        </x:is>
      </x:c>
      <x:c r="D90" s="3" t="inlineStr">
        <x:is>
          <x:t xml:space="preserve">Mauá</x:t>
        </x:is>
      </x:c>
      <x:c r="E90" s="2" t="inlineStr">
        <x:is>
          <x:t xml:space="preserve">SP</x:t>
        </x:is>
      </x:c>
      <x:c r="F90" s="2" t="inlineStr">
        <x:is>
          <x:t xml:space="preserve">Sudeste</x:t>
        </x:is>
      </x:c>
      <x:c r="G90" s="3" t="inlineStr">
        <x:is>
          <x:t xml:space="preserve">+55 11 96301-4309</x:t>
        </x:is>
      </x:c>
      <x:c r="H90" s="3" t="inlineStr">
        <x:is>
          <x:t xml:space="preserve">Rua Plewna, 51</x:t>
        </x:is>
      </x:c>
      <x:c r="I90" s="4" t="n">
        <x:v>4</x:v>
      </x:c>
      <x:c r="J90" s="2" t="n">
        <x:v>10</x:v>
      </x:c>
      <x:c r="K90" s="2" t="n">
        <x:f>IF(OR(I90="",J90=""),"",IFERROR(ROUND(I90*LN(J90+1),1),""))</x:f>
        <x:v>9.6</x:v>
      </x:c>
      <x:c r="L90" s="2" t="str">
        <x:f>IF(K90="","Sem dados - qualificar",IF(K90&gt;=15,"A - Alta",IF(K90&gt;=8,"B - Média","C - Baixa")))</x:f>
        <x:v>B - Média</x:v>
      </x:c>
      <x:c r="M90" s="2" t="inlineStr">
        <x:is>
          <x:t xml:space="preserve">Não contatado</x:t>
        </x:is>
      </x:c>
      <x:c r="N90" s="3" t="inlineStr">
        <x:is>
          <x:t xml:space="preserve"/>
        </x:is>
      </x:c>
      <x:c r="O90" s="3" t="inlineStr">
        <x:is>
          <x:t xml:space="preserve"/>
        </x:is>
      </x:c>
      <x:c r="P90" s="26" t="str">
        <x:v>contato@fatruwal.com.br</x:v>
      </x:c>
      <x:c r="Q90" s="3" t="inlineStr">
        <x:is>
          <x:t xml:space="preserve"/>
        </x:is>
      </x:c>
      <x:c r="R90" s="5" t="n"/>
      <x:c r="S90" s="3" t="inlineStr">
        <x:is>
          <x:t xml:space="preserve"/>
        </x:is>
      </x:c>
      <x:c r="T90" s="3" t="inlineStr">
        <x:is>
          <x:t xml:space="preserve"/>
        </x:is>
      </x:c>
      <x:c r="U90" s="26" t="str">
        <x:v>https://fatruwal.com.br/contato/</x:v>
      </x:c>
    </x:row>
    <x:row r="91">
      <x:c r="A91" s="2" t="n">
        <x:v>90</x:v>
      </x:c>
      <x:c r="B91" s="3" t="inlineStr">
        <x:is>
          <x:t xml:space="preserve">Vedavidro</x:t>
        </x:is>
      </x:c>
      <x:c r="C91" s="3" t="inlineStr">
        <x:is>
          <x:t xml:space="preserve">Fabricante/Vedações</x:t>
        </x:is>
      </x:c>
      <x:c r="D91" s="3" t="inlineStr">
        <x:is>
          <x:t xml:space="preserve">Mogi das Cruzes</x:t>
        </x:is>
      </x:c>
      <x:c r="E91" s="2" t="inlineStr">
        <x:is>
          <x:t xml:space="preserve">SP</x:t>
        </x:is>
      </x:c>
      <x:c r="F91" s="2" t="inlineStr">
        <x:is>
          <x:t xml:space="preserve">Sudeste</x:t>
        </x:is>
      </x:c>
      <x:c r="G91" s="3" t="inlineStr">
        <x:is>
          <x:t xml:space="preserve">+55 11 97282-0524</x:t>
        </x:is>
      </x:c>
      <x:c r="H91" s="3" t="inlineStr">
        <x:is>
          <x:t xml:space="preserve">Rod. Dom Paulo Rolim Loureiro, 6905</x:t>
        </x:is>
      </x:c>
      <x:c r="I91" s="4" t="n">
        <x:v>5</x:v>
      </x:c>
      <x:c r="J91" s="2" t="n">
        <x:v>2</x:v>
      </x:c>
      <x:c r="K91" s="2" t="n">
        <x:f>IF(OR(I91="",J91=""),"",IFERROR(ROUND(I91*LN(J91+1),1),""))</x:f>
        <x:v>5.5</x:v>
      </x:c>
      <x:c r="L91" s="2" t="str">
        <x:f>IF(K91="","Sem dados - qualificar",IF(K91&gt;=15,"A - Alta",IF(K91&gt;=8,"B - Média","C - Baixa")))</x:f>
        <x:v>C - Baixa</x:v>
      </x:c>
      <x:c r="M91" s="2" t="inlineStr">
        <x:is>
          <x:t xml:space="preserve">Não contatado</x:t>
        </x:is>
      </x:c>
      <x:c r="N91" s="3" t="inlineStr">
        <x:is>
          <x:t xml:space="preserve"/>
        </x:is>
      </x:c>
      <x:c r="O91" s="3" t="inlineStr">
        <x:is>
          <x:t xml:space="preserve"/>
        </x:is>
      </x:c>
      <x:c r="P91" s="26" t="str">
        <x:v>comercial@vedavidro.com.br</x:v>
      </x:c>
      <x:c r="Q91" s="3" t="inlineStr">
        <x:is>
          <x:t xml:space="preserve"/>
        </x:is>
      </x:c>
      <x:c r="R91" s="5" t="n"/>
      <x:c r="S91" s="3" t="inlineStr">
        <x:is>
          <x:t xml:space="preserve"/>
        </x:is>
      </x:c>
      <x:c r="T91" s="3" t="inlineStr">
        <x:is>
          <x:t xml:space="preserve"/>
        </x:is>
      </x:c>
      <x:c r="U91" s="26" t="str">
        <x:v>https://vedavidro.com.br/sobre</x:v>
      </x:c>
    </x:row>
    <x:row r="92">
      <x:c r="A92" s="2" t="n">
        <x:v>91</x:v>
      </x:c>
      <x:c r="B92" s="3" t="inlineStr">
        <x:is>
          <x:t xml:space="preserve">Vedaflex Vedações</x:t>
        </x:is>
      </x:c>
      <x:c r="C92" s="3" t="inlineStr">
        <x:is>
          <x:t xml:space="preserve">Fabricante/Vedações</x:t>
        </x:is>
      </x:c>
      <x:c r="D92" s="3" t="inlineStr">
        <x:is>
          <x:t xml:space="preserve">Osasco</x:t>
        </x:is>
      </x:c>
      <x:c r="E92" s="2" t="inlineStr">
        <x:is>
          <x:t xml:space="preserve">SP</x:t>
        </x:is>
      </x:c>
      <x:c r="F92" s="2" t="inlineStr">
        <x:is>
          <x:t xml:space="preserve">Sudeste</x:t>
        </x:is>
      </x:c>
      <x:c r="G92" s="3" t="inlineStr">
        <x:is>
          <x:t xml:space="preserve">+55 11 3681-9688</x:t>
        </x:is>
      </x:c>
      <x:c r="H92" s="3" t="inlineStr">
        <x:is>
          <x:t xml:space="preserve">R. Padre Paulo Xerdel, 437 - Vila Yolanda</x:t>
        </x:is>
      </x:c>
      <x:c r="I92" s="4" t="n">
        <x:v>5</x:v>
      </x:c>
      <x:c r="J92" s="2" t="n">
        <x:v>1</x:v>
      </x:c>
      <x:c r="K92" s="2" t="n">
        <x:f>IF(OR(I92="",J92=""),"",IFERROR(ROUND(I92*LN(J92+1),1),""))</x:f>
        <x:v>3.5</x:v>
      </x:c>
      <x:c r="L92" s="2" t="str">
        <x:f>IF(K92="","Sem dados - qualificar",IF(K92&gt;=15,"A - Alta",IF(K92&gt;=8,"B - Média","C - Baixa")))</x:f>
        <x:v>C - Baixa</x:v>
      </x:c>
      <x:c r="M92" s="2" t="inlineStr">
        <x:is>
          <x:t xml:space="preserve">Não contatado</x:t>
        </x:is>
      </x:c>
      <x:c r="N92" s="3" t="inlineStr">
        <x:is>
          <x:t xml:space="preserve"/>
        </x:is>
      </x:c>
      <x:c r="O92" s="3" t="inlineStr">
        <x:is>
          <x:t xml:space="preserve"/>
        </x:is>
      </x:c>
      <x:c r="P92" s="26" t="str">
        <x:v>contato@vedaflexvedacoes.com.br</x:v>
      </x:c>
      <x:c r="Q92" s="3" t="inlineStr">
        <x:is>
          <x:t xml:space="preserve"/>
        </x:is>
      </x:c>
      <x:c r="R92" s="5" t="n"/>
      <x:c r="S92" s="3" t="inlineStr">
        <x:is>
          <x:t xml:space="preserve"/>
        </x:is>
      </x:c>
      <x:c r="T92" s="3" t="inlineStr">
        <x:is>
          <x:t xml:space="preserve"/>
        </x:is>
      </x:c>
      <x:c r="U92" s="26" t="str">
        <x:v>https://www.vedaflexvedacoes.com.br/</x:v>
      </x:c>
    </x:row>
    <x:row r="93">
      <x:c r="A93" s="2" t="n">
        <x:v>92</x:v>
      </x:c>
      <x:c r="B93" s="3" t="inlineStr">
        <x:is>
          <x:t xml:space="preserve">Center Seals Vedações Industriais e Hidráulicas</x:t>
        </x:is>
      </x:c>
      <x:c r="C93" s="3" t="inlineStr">
        <x:is>
          <x:t xml:space="preserve">Vedações</x:t>
        </x:is>
      </x:c>
      <x:c r="D93" s="3" t="inlineStr">
        <x:is>
          <x:t xml:space="preserve">Piracicaba</x:t>
        </x:is>
      </x:c>
      <x:c r="E93" s="2" t="inlineStr">
        <x:is>
          <x:t xml:space="preserve">SP</x:t>
        </x:is>
      </x:c>
      <x:c r="F93" s="2" t="inlineStr">
        <x:is>
          <x:t xml:space="preserve">Sudeste</x:t>
        </x:is>
      </x:c>
      <x:c r="G93" s="3" t="inlineStr">
        <x:is>
          <x:t xml:space="preserve">+55 19 3411-4591</x:t>
        </x:is>
      </x:c>
      <x:c r="H93" s="3" t="inlineStr">
        <x:is>
          <x:t xml:space="preserve">R. Henrique Rochelle, 385 - Jd. Caxambu</x:t>
        </x:is>
      </x:c>
      <x:c r="I93" s="4" t="n">
        <x:v>4.6</x:v>
      </x:c>
      <x:c r="J93" s="2" t="n">
        <x:v>48</x:v>
      </x:c>
      <x:c r="K93" s="2" t="n">
        <x:f>IF(OR(I93="",J93=""),"",IFERROR(ROUND(I93*LN(J93+1),1),""))</x:f>
        <x:v>17.9</x:v>
      </x:c>
      <x:c r="L93" s="2" t="str">
        <x:f>IF(K93="","Sem dados - qualificar",IF(K93&gt;=15,"A - Alta",IF(K93&gt;=8,"B - Média","C - Baixa")))</x:f>
        <x:v>A - Alta</x:v>
      </x:c>
      <x:c r="M93" s="2" t="inlineStr">
        <x:is>
          <x:t xml:space="preserve">Não contatado</x:t>
        </x:is>
      </x:c>
      <x:c r="N93" s="3" t="inlineStr">
        <x:is>
          <x:t xml:space="preserve"/>
        </x:is>
      </x:c>
      <x:c r="O93" s="3" t="inlineStr">
        <x:is>
          <x:t xml:space="preserve"/>
        </x:is>
      </x:c>
      <x:c r="P93" s="26" t="str">
        <x:v>contato@centerseals.com.br</x:v>
      </x:c>
      <x:c r="Q93" s="3" t="inlineStr">
        <x:is>
          <x:t xml:space="preserve"/>
        </x:is>
      </x:c>
      <x:c r="R93" s="5" t="n"/>
      <x:c r="S93" s="3" t="inlineStr">
        <x:is>
          <x:t xml:space="preserve"/>
        </x:is>
      </x:c>
      <x:c r="T93" s="3" t="inlineStr">
        <x:is>
          <x:t xml:space="preserve"/>
        </x:is>
      </x:c>
      <x:c r="U93" s="26" t="str">
        <x:v>https://centerseals.com.br/</x:v>
      </x:c>
    </x:row>
    <x:row r="94">
      <x:c r="A94" s="2" t="n">
        <x:v>93</x:v>
      </x:c>
      <x:c r="B94" s="3" t="inlineStr">
        <x:is>
          <x:t xml:space="preserve">Dracom Vedações e Serviços Hidráulicos</x:t>
        </x:is>
      </x:c>
      <x:c r="C94" s="3" t="inlineStr">
        <x:is>
          <x:t xml:space="preserve">Hidráulica/Vedações</x:t>
        </x:is>
      </x:c>
      <x:c r="D94" s="3" t="inlineStr">
        <x:is>
          <x:t xml:space="preserve">Piracicaba</x:t>
        </x:is>
      </x:c>
      <x:c r="E94" s="2" t="inlineStr">
        <x:is>
          <x:t xml:space="preserve">SP</x:t>
        </x:is>
      </x:c>
      <x:c r="F94" s="2" t="inlineStr">
        <x:is>
          <x:t xml:space="preserve">Sudeste</x:t>
        </x:is>
      </x:c>
      <x:c r="G94" s="3" t="inlineStr">
        <x:is>
          <x:t xml:space="preserve">+55 19 3421-2240</x:t>
        </x:is>
      </x:c>
      <x:c r="H94" s="3" t="inlineStr">
        <x:is>
          <x:t xml:space="preserve">Av. Mons. Martinho Salgot, 707 - Areião</x:t>
        </x:is>
      </x:c>
      <x:c r="I94" s="4" t="n">
        <x:v>3.7</x:v>
      </x:c>
      <x:c r="J94" s="2" t="n">
        <x:v>10</x:v>
      </x:c>
      <x:c r="K94" s="2" t="n">
        <x:f>IF(OR(I94="",J94=""),"",IFERROR(ROUND(I94*LN(J94+1),1),""))</x:f>
        <x:v>8.9</x:v>
      </x:c>
      <x:c r="L94" s="2" t="str">
        <x:f>IF(K94="","Sem dados - qualificar",IF(K94&gt;=15,"A - Alta",IF(K94&gt;=8,"B - Média","C - Baixa")))</x:f>
        <x:v>B - Média</x:v>
      </x:c>
      <x:c r="M94" s="2" t="inlineStr">
        <x:is>
          <x:t xml:space="preserve">Não contatado</x:t>
        </x:is>
      </x:c>
      <x:c r="N94" s="3" t="inlineStr">
        <x:is>
          <x:t xml:space="preserve"/>
        </x:is>
      </x:c>
      <x:c r="O94" s="3" t="inlineStr">
        <x:is>
          <x:t xml:space="preserve"/>
        </x:is>
      </x:c>
      <x:c r="P94" s="26" t="str">
        <x:v>vendas1@dracom.com.br</x:v>
      </x:c>
      <x:c r="Q94" s="3" t="inlineStr">
        <x:is>
          <x:t xml:space="preserve"/>
        </x:is>
      </x:c>
      <x:c r="R94" s="5" t="n"/>
      <x:c r="S94" s="3" t="inlineStr">
        <x:is>
          <x:t xml:space="preserve"/>
        </x:is>
      </x:c>
      <x:c r="T94" s="3" t="inlineStr">
        <x:is>
          <x:t xml:space="preserve"/>
        </x:is>
      </x:c>
      <x:c r="U94" s="26" t="str">
        <x:v>https://dracom.com.br/</x:v>
      </x:c>
    </x:row>
    <x:row r="95">
      <x:c r="A95" s="2" t="n">
        <x:v>94</x:v>
      </x:c>
      <x:c r="B95" s="3" t="inlineStr">
        <x:is>
          <x:t xml:space="preserve">MJF Comércio de Vedações</x:t>
        </x:is>
      </x:c>
      <x:c r="C95" s="3" t="inlineStr">
        <x:is>
          <x:t xml:space="preserve">Fabricante/Vedações</x:t>
        </x:is>
      </x:c>
      <x:c r="D95" s="3" t="inlineStr">
        <x:is>
          <x:t xml:space="preserve">Piracicaba</x:t>
        </x:is>
      </x:c>
      <x:c r="E95" s="2" t="inlineStr">
        <x:is>
          <x:t xml:space="preserve">SP</x:t>
        </x:is>
      </x:c>
      <x:c r="F95" s="2" t="inlineStr">
        <x:is>
          <x:t xml:space="preserve">Sudeste</x:t>
        </x:is>
      </x:c>
      <x:c r="G95" s="3" t="inlineStr">
        <x:is>
          <x:t xml:space="preserve">+55 19 3426-5226</x:t>
        </x:is>
      </x:c>
      <x:c r="H95" s="3" t="inlineStr">
        <x:is>
          <x:t xml:space="preserve">R. Goiânia, 107 - Pq. Primeiro de Maio</x:t>
        </x:is>
      </x:c>
      <x:c r="I95" s="4" t="n">
        <x:v>5</x:v>
      </x:c>
      <x:c r="J95" s="2" t="n">
        <x:v>16</x:v>
      </x:c>
      <x:c r="K95" s="2" t="n">
        <x:f>IF(OR(I95="",J95=""),"",IFERROR(ROUND(I95*LN(J95+1),1),""))</x:f>
        <x:v>14.2</x:v>
      </x:c>
      <x:c r="L95" s="2" t="str">
        <x:f>IF(K95="","Sem dados - qualificar",IF(K95&gt;=15,"A - Alta",IF(K95&gt;=8,"B - Média","C - Baixa")))</x:f>
        <x:v>B - Média</x:v>
      </x:c>
      <x:c r="M95" s="2" t="inlineStr">
        <x:is>
          <x:t xml:space="preserve">Não contatado</x:t>
        </x:is>
      </x:c>
      <x:c r="N95" s="3" t="inlineStr">
        <x:is>
          <x:t xml:space="preserve"/>
        </x:is>
      </x:c>
      <x:c r="O95" s="3" t="inlineStr">
        <x:is>
          <x:t xml:space="preserve"/>
        </x:is>
      </x:c>
      <x:c r="P95" s="26" t="str"/>
      <x:c r="Q95" s="3" t="inlineStr">
        <x:is>
          <x:t xml:space="preserve"/>
        </x:is>
      </x:c>
      <x:c r="R95" s="5" t="n"/>
      <x:c r="S95" s="3" t="inlineStr">
        <x:is>
          <x:t xml:space="preserve"/>
        </x:is>
      </x:c>
      <x:c r="T95" s="3" t="inlineStr">
        <x:is>
          <x:t xml:space="preserve"/>
        </x:is>
      </x:c>
      <x:c r="U95" s="26" t="str">
        <x:v>Não localizado em fonte pública confiável até 24/07/2026</x:v>
      </x:c>
    </x:row>
    <x:row r="96">
      <x:c r="A96" s="2" t="n">
        <x:v>95</x:v>
      </x:c>
      <x:c r="B96" s="3" t="inlineStr">
        <x:is>
          <x:t xml:space="preserve">Mariana Mangueiras e Vedações Hidráulicas</x:t>
        </x:is>
      </x:c>
      <x:c r="C96" s="3" t="inlineStr">
        <x:is>
          <x:t xml:space="preserve">Hidráulica/Vedações</x:t>
        </x:is>
      </x:c>
      <x:c r="D96" s="3" t="inlineStr">
        <x:is>
          <x:t xml:space="preserve">Piracicaba</x:t>
        </x:is>
      </x:c>
      <x:c r="E96" s="2" t="inlineStr">
        <x:is>
          <x:t xml:space="preserve">SP</x:t>
        </x:is>
      </x:c>
      <x:c r="F96" s="2" t="inlineStr">
        <x:is>
          <x:t xml:space="preserve">Sudeste</x:t>
        </x:is>
      </x:c>
      <x:c r="G96" s="3" t="inlineStr">
        <x:is>
          <x:t xml:space="preserve">+55 19 99711-3701</x:t>
        </x:is>
      </x:c>
      <x:c r="H96" s="3" t="inlineStr">
        <x:is>
          <x:t xml:space="preserve">Estr. Antonio Abdalla, 75 - Jd. Califórnia</x:t>
        </x:is>
      </x:c>
      <x:c r="I96" s="4" t="n">
        <x:v>4.9</x:v>
      </x:c>
      <x:c r="J96" s="2" t="n">
        <x:v>15</x:v>
      </x:c>
      <x:c r="K96" s="2" t="n">
        <x:f>IF(OR(I96="",J96=""),"",IFERROR(ROUND(I96*LN(J96+1),1),""))</x:f>
        <x:v>13.6</x:v>
      </x:c>
      <x:c r="L96" s="2" t="str">
        <x:f>IF(K96="","Sem dados - qualificar",IF(K96&gt;=15,"A - Alta",IF(K96&gt;=8,"B - Média","C - Baixa")))</x:f>
        <x:v>B - Média</x:v>
      </x:c>
      <x:c r="M96" s="2" t="inlineStr">
        <x:is>
          <x:t xml:space="preserve">Não contatado</x:t>
        </x:is>
      </x:c>
      <x:c r="N96" s="3" t="inlineStr">
        <x:is>
          <x:t xml:space="preserve"/>
        </x:is>
      </x:c>
      <x:c r="O96" s="3" t="inlineStr">
        <x:is>
          <x:t xml:space="preserve"/>
        </x:is>
      </x:c>
      <x:c r="P96" s="26" t="str"/>
      <x:c r="Q96" s="3" t="inlineStr">
        <x:is>
          <x:t xml:space="preserve"/>
        </x:is>
      </x:c>
      <x:c r="R96" s="5" t="n"/>
      <x:c r="S96" s="3" t="inlineStr">
        <x:is>
          <x:t xml:space="preserve"/>
        </x:is>
      </x:c>
      <x:c r="T96" s="3" t="inlineStr">
        <x:is>
          <x:t xml:space="preserve"/>
        </x:is>
      </x:c>
      <x:c r="U96" s="26" t="str">
        <x:v>Não localizado em fonte pública confiável até 24/07/2026</x:v>
      </x:c>
    </x:row>
    <x:row r="97">
      <x:c r="A97" s="2" t="n">
        <x:v>96</x:v>
      </x:c>
      <x:c r="B97" s="3" t="inlineStr">
        <x:is>
          <x:t xml:space="preserve">Piranel</x:t>
        </x:is>
      </x:c>
      <x:c r="C97" s="3" t="inlineStr">
        <x:is>
          <x:t xml:space="preserve">Fabricante/Vedações</x:t>
        </x:is>
      </x:c>
      <x:c r="D97" s="3" t="inlineStr">
        <x:is>
          <x:t xml:space="preserve">Piracicaba</x:t>
        </x:is>
      </x:c>
      <x:c r="E97" s="2" t="inlineStr">
        <x:is>
          <x:t xml:space="preserve">SP</x:t>
        </x:is>
      </x:c>
      <x:c r="F97" s="2" t="inlineStr">
        <x:is>
          <x:t xml:space="preserve">Sudeste</x:t>
        </x:is>
      </x:c>
      <x:c r="G97" s="3" t="inlineStr">
        <x:is>
          <x:t xml:space="preserve">+55 19 3412-2525</x:t>
        </x:is>
      </x:c>
      <x:c r="H97" s="3" t="inlineStr">
        <x:is>
          <x:t xml:space="preserve">R. Emílio Bertozzi, 535 - Algodoal</x:t>
        </x:is>
      </x:c>
      <x:c r="I97" s="4" t="n">
        <x:v>4.7</x:v>
      </x:c>
      <x:c r="J97" s="2" t="n">
        <x:v>42</x:v>
      </x:c>
      <x:c r="K97" s="2" t="n">
        <x:f>IF(OR(I97="",J97=""),"",IFERROR(ROUND(I97*LN(J97+1),1),""))</x:f>
        <x:v>17.7</x:v>
      </x:c>
      <x:c r="L97" s="2" t="str">
        <x:f>IF(K97="","Sem dados - qualificar",IF(K97&gt;=15,"A - Alta",IF(K97&gt;=8,"B - Média","C - Baixa")))</x:f>
        <x:v>A - Alta</x:v>
      </x:c>
      <x:c r="M97" s="2" t="inlineStr">
        <x:is>
          <x:t xml:space="preserve">Não contatado</x:t>
        </x:is>
      </x:c>
      <x:c r="N97" s="3" t="inlineStr">
        <x:is>
          <x:t xml:space="preserve"/>
        </x:is>
      </x:c>
      <x:c r="O97" s="3" t="inlineStr">
        <x:is>
          <x:t xml:space="preserve"/>
        </x:is>
      </x:c>
      <x:c r="P97" s="26" t="str">
        <x:v>piranel@piranel.com.br</x:v>
      </x:c>
      <x:c r="Q97" s="3" t="inlineStr">
        <x:is>
          <x:t xml:space="preserve"/>
        </x:is>
      </x:c>
      <x:c r="R97" s="5" t="n"/>
      <x:c r="S97" s="3" t="inlineStr">
        <x:is>
          <x:t xml:space="preserve"/>
        </x:is>
      </x:c>
      <x:c r="T97" s="3" t="inlineStr">
        <x:is>
          <x:t xml:space="preserve"/>
        </x:is>
      </x:c>
      <x:c r="U97" s="26" t="str">
        <x:v>https://www.piranel.com.br/pages/contato.php</x:v>
      </x:c>
    </x:row>
    <x:row r="98">
      <x:c r="A98" s="2" t="n">
        <x:v>97</x:v>
      </x:c>
      <x:c r="B98" s="3" t="inlineStr">
        <x:is>
          <x:t xml:space="preserve">RP Seals Vedações Industriais</x:t>
        </x:is>
      </x:c>
      <x:c r="C98" s="3" t="inlineStr">
        <x:is>
          <x:t xml:space="preserve">Vedações</x:t>
        </x:is>
      </x:c>
      <x:c r="D98" s="3" t="inlineStr">
        <x:is>
          <x:t xml:space="preserve">Piracicaba</x:t>
        </x:is>
      </x:c>
      <x:c r="E98" s="2" t="inlineStr">
        <x:is>
          <x:t xml:space="preserve">SP</x:t>
        </x:is>
      </x:c>
      <x:c r="F98" s="2" t="inlineStr">
        <x:is>
          <x:t xml:space="preserve">Sudeste</x:t>
        </x:is>
      </x:c>
      <x:c r="G98" s="3" t="inlineStr">
        <x:is>
          <x:t xml:space="preserve">+55 19 99451-6384</x:t>
        </x:is>
      </x:c>
      <x:c r="H98" s="3" t="inlineStr">
        <x:is>
          <x:t xml:space="preserve">R. Buarque de Macedo, 79 - Verde</x:t>
        </x:is>
      </x:c>
      <x:c r="I98" s="4" t="n">
        <x:v>5</x:v>
      </x:c>
      <x:c r="J98" s="2" t="n">
        <x:v>2</x:v>
      </x:c>
      <x:c r="K98" s="2" t="n">
        <x:f>IF(OR(I98="",J98=""),"",IFERROR(ROUND(I98*LN(J98+1),1),""))</x:f>
        <x:v>5.5</x:v>
      </x:c>
      <x:c r="L98" s="2" t="str">
        <x:f>IF(K98="","Sem dados - qualificar",IF(K98&gt;=15,"A - Alta",IF(K98&gt;=8,"B - Média","C - Baixa")))</x:f>
        <x:v>C - Baixa</x:v>
      </x:c>
      <x:c r="M98" s="2" t="inlineStr">
        <x:is>
          <x:t xml:space="preserve">Não contatado</x:t>
        </x:is>
      </x:c>
      <x:c r="N98" s="3" t="inlineStr">
        <x:is>
          <x:t xml:space="preserve"/>
        </x:is>
      </x:c>
      <x:c r="O98" s="3" t="inlineStr">
        <x:is>
          <x:t xml:space="preserve"/>
        </x:is>
      </x:c>
      <x:c r="P98" s="26" t="str"/>
      <x:c r="Q98" s="3" t="inlineStr">
        <x:is>
          <x:t xml:space="preserve"/>
        </x:is>
      </x:c>
      <x:c r="R98" s="5" t="n"/>
      <x:c r="S98" s="3" t="inlineStr">
        <x:is>
          <x:t xml:space="preserve"/>
        </x:is>
      </x:c>
      <x:c r="T98" s="3" t="inlineStr">
        <x:is>
          <x:t xml:space="preserve"/>
        </x:is>
      </x:c>
      <x:c r="U98" s="26" t="str">
        <x:v>Não localizado em fonte pública confiável até 24/07/2026</x:v>
      </x:c>
    </x:row>
    <x:row r="99">
      <x:c r="A99" s="2" t="n">
        <x:v>98</x:v>
      </x:c>
      <x:c r="B99" s="3" t="inlineStr">
        <x:is>
          <x:t xml:space="preserve">Retenfix Industrial Seals</x:t>
        </x:is>
      </x:c>
      <x:c r="C99" s="3" t="inlineStr">
        <x:is>
          <x:t xml:space="preserve">Vedações</x:t>
        </x:is>
      </x:c>
      <x:c r="D99" s="3" t="inlineStr">
        <x:is>
          <x:t xml:space="preserve">Piracicaba</x:t>
        </x:is>
      </x:c>
      <x:c r="E99" s="2" t="inlineStr">
        <x:is>
          <x:t xml:space="preserve">SP</x:t>
        </x:is>
      </x:c>
      <x:c r="F99" s="2" t="inlineStr">
        <x:is>
          <x:t xml:space="preserve">Sudeste</x:t>
        </x:is>
      </x:c>
      <x:c r="G99" s="3" t="inlineStr">
        <x:is>
          <x:t xml:space="preserve">+55 19 3432-3317</x:t>
        </x:is>
      </x:c>
      <x:c r="H99" s="3" t="inlineStr">
        <x:is>
          <x:t xml:space="preserve">Av. Prof. A. Vollet Sachs, 2671 - Vila Monteiro</x:t>
        </x:is>
      </x:c>
      <x:c r="I99" s="4" t="n">
        <x:v>4.4</x:v>
      </x:c>
      <x:c r="J99" s="2" t="n">
        <x:v>16</x:v>
      </x:c>
      <x:c r="K99" s="2" t="n">
        <x:f>IF(OR(I99="",J99=""),"",IFERROR(ROUND(I99*LN(J99+1),1),""))</x:f>
        <x:v>12.5</x:v>
      </x:c>
      <x:c r="L99" s="2" t="str">
        <x:f>IF(K99="","Sem dados - qualificar",IF(K99&gt;=15,"A - Alta",IF(K99&gt;=8,"B - Média","C - Baixa")))</x:f>
        <x:v>B - Média</x:v>
      </x:c>
      <x:c r="M99" s="2" t="inlineStr">
        <x:is>
          <x:t xml:space="preserve">Não contatado</x:t>
        </x:is>
      </x:c>
      <x:c r="N99" s="3" t="inlineStr">
        <x:is>
          <x:t xml:space="preserve"/>
        </x:is>
      </x:c>
      <x:c r="O99" s="3" t="inlineStr">
        <x:is>
          <x:t xml:space="preserve"/>
        </x:is>
      </x:c>
      <x:c r="P99" s="26" t="str">
        <x:v>piracicaba@retenfix.com.br</x:v>
      </x:c>
      <x:c r="Q99" s="3" t="inlineStr">
        <x:is>
          <x:t xml:space="preserve"/>
        </x:is>
      </x:c>
      <x:c r="R99" s="5" t="n"/>
      <x:c r="S99" s="3" t="inlineStr">
        <x:is>
          <x:t xml:space="preserve"/>
        </x:is>
      </x:c>
      <x:c r="T99" s="3" t="inlineStr">
        <x:is>
          <x:t xml:space="preserve"/>
        </x:is>
      </x:c>
      <x:c r="U99" s="26" t="str">
        <x:v>https://retenfix.com.br/contato/</x:v>
      </x:c>
    </x:row>
    <x:row r="100">
      <x:c r="A100" s="2" t="n">
        <x:v>99</x:v>
      </x:c>
      <x:c r="B100" s="3" t="inlineStr">
        <x:is>
          <x:t xml:space="preserve">SKS Vedações</x:t>
        </x:is>
      </x:c>
      <x:c r="C100" s="3" t="inlineStr">
        <x:is>
          <x:t xml:space="preserve">Fabricante/Vedações</x:t>
        </x:is>
      </x:c>
      <x:c r="D100" s="3" t="inlineStr">
        <x:is>
          <x:t xml:space="preserve">Piracicaba</x:t>
        </x:is>
      </x:c>
      <x:c r="E100" s="2" t="inlineStr">
        <x:is>
          <x:t xml:space="preserve">SP</x:t>
        </x:is>
      </x:c>
      <x:c r="F100" s="2" t="inlineStr">
        <x:is>
          <x:t xml:space="preserve">Sudeste</x:t>
        </x:is>
      </x:c>
      <x:c r="G100" s="3" t="inlineStr">
        <x:is>
          <x:t xml:space="preserve">+55 19 3411-4001</x:t>
        </x:is>
      </x:c>
      <x:c r="H100" s="3" t="inlineStr">
        <x:is>
          <x:t xml:space="preserve">R. José Elias de Moraes, 460 - Caxambu</x:t>
        </x:is>
      </x:c>
      <x:c r="I100" s="4" t="n">
        <x:v>5</x:v>
      </x:c>
      <x:c r="J100" s="2" t="n">
        <x:v>2</x:v>
      </x:c>
      <x:c r="K100" s="2" t="n">
        <x:f>IF(OR(I100="",J100=""),"",IFERROR(ROUND(I100*LN(J100+1),1),""))</x:f>
        <x:v>5.5</x:v>
      </x:c>
      <x:c r="L100" s="2" t="str">
        <x:f>IF(K100="","Sem dados - qualificar",IF(K100&gt;=15,"A - Alta",IF(K100&gt;=8,"B - Média","C - Baixa")))</x:f>
        <x:v>C - Baixa</x:v>
      </x:c>
      <x:c r="M100" s="2" t="inlineStr">
        <x:is>
          <x:t xml:space="preserve">Não contatado</x:t>
        </x:is>
      </x:c>
      <x:c r="N100" s="3" t="inlineStr">
        <x:is>
          <x:t xml:space="preserve"/>
        </x:is>
      </x:c>
      <x:c r="O100" s="3" t="inlineStr">
        <x:is>
          <x:t xml:space="preserve"/>
        </x:is>
      </x:c>
      <x:c r="P100" s="26" t="str">
        <x:v>vendas@sksvedacoes.com.br</x:v>
      </x:c>
      <x:c r="Q100" s="3" t="inlineStr">
        <x:is>
          <x:t xml:space="preserve"/>
        </x:is>
      </x:c>
      <x:c r="R100" s="5" t="n"/>
      <x:c r="S100" s="3" t="inlineStr">
        <x:is>
          <x:t xml:space="preserve"/>
        </x:is>
      </x:c>
      <x:c r="T100" s="3" t="inlineStr">
        <x:is>
          <x:t xml:space="preserve"/>
        </x:is>
      </x:c>
      <x:c r="U100" s="26" t="str">
        <x:v>https://sksvedacoes.com.br/</x:v>
      </x:c>
    </x:row>
    <x:row r="101">
      <x:c r="A101" s="2" t="n">
        <x:v>100</x:v>
      </x:c>
      <x:c r="B101" s="3" t="inlineStr">
        <x:is>
          <x:t xml:space="preserve">TECVED Vedações Industriais</x:t>
        </x:is>
      </x:c>
      <x:c r="C101" s="3" t="inlineStr">
        <x:is>
          <x:t xml:space="preserve">Vedações</x:t>
        </x:is>
      </x:c>
      <x:c r="D101" s="3" t="inlineStr">
        <x:is>
          <x:t xml:space="preserve">Piracicaba</x:t>
        </x:is>
      </x:c>
      <x:c r="E101" s="2" t="inlineStr">
        <x:is>
          <x:t xml:space="preserve">SP</x:t>
        </x:is>
      </x:c>
      <x:c r="F101" s="2" t="inlineStr">
        <x:is>
          <x:t xml:space="preserve">Sudeste</x:t>
        </x:is>
      </x:c>
      <x:c r="G101" s="3" t="inlineStr">
        <x:is>
          <x:t xml:space="preserve">+55 19 3411-4591</x:t>
        </x:is>
      </x:c>
      <x:c r="H101" s="3" t="inlineStr">
        <x:is>
          <x:t xml:space="preserve">R. Henrique Rochelle, 391 - Jd. Caxambu</x:t>
        </x:is>
      </x:c>
      <x:c r="I101" s="4" t="n"/>
      <x:c r="J101" s="2" t="n"/>
      <x:c r="K101" s="2" t="str">
        <x:f>IF(OR(I101="",J101=""),"",IFERROR(ROUND(I101*LN(J101+1),1),""))</x:f>
      </x:c>
      <x:c r="L101" s="2" t="str">
        <x:f>IF(K101="","Sem dados - qualificar",IF(K101&gt;=15,"A - Alta",IF(K101&gt;=8,"B - Média","C - Baixa")))</x:f>
        <x:v>Sem dados - qualificar</x:v>
      </x:c>
      <x:c r="M101" s="2" t="inlineStr">
        <x:is>
          <x:t xml:space="preserve">Não contatado</x:t>
        </x:is>
      </x:c>
      <x:c r="N101" s="3" t="inlineStr">
        <x:is>
          <x:t xml:space="preserve"/>
        </x:is>
      </x:c>
      <x:c r="O101" s="3" t="inlineStr">
        <x:is>
          <x:t xml:space="preserve"/>
        </x:is>
      </x:c>
      <x:c r="P101" s="26" t="str"/>
      <x:c r="Q101" s="3" t="inlineStr">
        <x:is>
          <x:t xml:space="preserve"/>
        </x:is>
      </x:c>
      <x:c r="R101" s="5" t="n"/>
      <x:c r="S101" s="3" t="inlineStr">
        <x:is>
          <x:t xml:space="preserve"/>
        </x:is>
      </x:c>
      <x:c r="T101" s="3" t="inlineStr">
        <x:is>
          <x:t xml:space="preserve"/>
        </x:is>
      </x:c>
      <x:c r="U101" s="26" t="str">
        <x:v>Não localizado em fonte pública confiável até 24/07/2026</x:v>
      </x:c>
    </x:row>
    <x:row r="102">
      <x:c r="A102" s="2" t="n">
        <x:v>101</x:v>
      </x:c>
      <x:c r="B102" s="3" t="inlineStr">
        <x:is>
          <x:t xml:space="preserve">Ved System</x:t>
        </x:is>
      </x:c>
      <x:c r="C102" s="3" t="inlineStr">
        <x:is>
          <x:t xml:space="preserve">Vedações</x:t>
        </x:is>
      </x:c>
      <x:c r="D102" s="3" t="inlineStr">
        <x:is>
          <x:t xml:space="preserve">Piracicaba</x:t>
        </x:is>
      </x:c>
      <x:c r="E102" s="2" t="inlineStr">
        <x:is>
          <x:t xml:space="preserve">SP</x:t>
        </x:is>
      </x:c>
      <x:c r="F102" s="2" t="inlineStr">
        <x:is>
          <x:t xml:space="preserve">Sudeste</x:t>
        </x:is>
      </x:c>
      <x:c r="G102" s="3" t="inlineStr">
        <x:is>
          <x:t xml:space="preserve">+55 19 3302-7750</x:t>
        </x:is>
      </x:c>
      <x:c r="H102" s="3" t="inlineStr">
        <x:is>
          <x:t xml:space="preserve">R. Antonio Degaspari, 1225 - DI</x:t>
        </x:is>
      </x:c>
      <x:c r="I102" s="4" t="n">
        <x:v>4.1</x:v>
      </x:c>
      <x:c r="J102" s="2" t="n">
        <x:v>30</x:v>
      </x:c>
      <x:c r="K102" s="2" t="n">
        <x:f>IF(OR(I102="",J102=""),"",IFERROR(ROUND(I102*LN(J102+1),1),""))</x:f>
        <x:v>14.1</x:v>
      </x:c>
      <x:c r="L102" s="2" t="str">
        <x:f>IF(K102="","Sem dados - qualificar",IF(K102&gt;=15,"A - Alta",IF(K102&gt;=8,"B - Média","C - Baixa")))</x:f>
        <x:v>B - Média</x:v>
      </x:c>
      <x:c r="M102" s="2" t="inlineStr">
        <x:is>
          <x:t xml:space="preserve">Não contatado</x:t>
        </x:is>
      </x:c>
      <x:c r="N102" s="3" t="inlineStr">
        <x:is>
          <x:t xml:space="preserve"/>
        </x:is>
      </x:c>
      <x:c r="O102" s="3" t="inlineStr">
        <x:is>
          <x:t xml:space="preserve"/>
        </x:is>
      </x:c>
      <x:c r="P102" s="26" t="str">
        <x:v>contato@vedsystem.com.br</x:v>
      </x:c>
      <x:c r="Q102" s="3" t="inlineStr">
        <x:is>
          <x:t xml:space="preserve"/>
        </x:is>
      </x:c>
      <x:c r="R102" s="5" t="n"/>
      <x:c r="S102" s="3" t="inlineStr">
        <x:is>
          <x:t xml:space="preserve"/>
        </x:is>
      </x:c>
      <x:c r="T102" s="3" t="inlineStr">
        <x:is>
          <x:t xml:space="preserve"/>
        </x:is>
      </x:c>
      <x:c r="U102" s="26" t="str">
        <x:v>https://vedsystem.com.br/contato/</x:v>
      </x:c>
    </x:row>
    <x:row r="103">
      <x:c r="A103" s="2" t="n">
        <x:v>102</x:v>
      </x:c>
      <x:c r="B103" s="3" t="inlineStr">
        <x:is>
          <x:t xml:space="preserve">FMX Vedações e Retentores Industriais</x:t>
        </x:is>
      </x:c>
      <x:c r="C103" s="3" t="inlineStr">
        <x:is>
          <x:t xml:space="preserve">Vedações</x:t>
        </x:is>
      </x:c>
      <x:c r="D103" s="3" t="inlineStr">
        <x:is>
          <x:t xml:space="preserve">Ribeirão Preto</x:t>
        </x:is>
      </x:c>
      <x:c r="E103" s="2" t="inlineStr">
        <x:is>
          <x:t xml:space="preserve">SP</x:t>
        </x:is>
      </x:c>
      <x:c r="F103" s="2" t="inlineStr">
        <x:is>
          <x:t xml:space="preserve">Sudeste</x:t>
        </x:is>
      </x:c>
      <x:c r="G103" s="3" t="inlineStr">
        <x:is>
          <x:t xml:space="preserve">+55 16 3519-3434</x:t>
        </x:is>
      </x:c>
      <x:c r="H103" s="3" t="inlineStr">
        <x:is>
          <x:t xml:space="preserve">Av. Caramuru, 505 - Jd. Sumaré</x:t>
        </x:is>
      </x:c>
      <x:c r="I103" s="4" t="n">
        <x:v>4.8</x:v>
      </x:c>
      <x:c r="J103" s="2" t="n">
        <x:v>36</x:v>
      </x:c>
      <x:c r="K103" s="2" t="n">
        <x:f>IF(OR(I103="",J103=""),"",IFERROR(ROUND(I103*LN(J103+1),1),""))</x:f>
        <x:v>17.3</x:v>
      </x:c>
      <x:c r="L103" s="2" t="str">
        <x:f>IF(K103="","Sem dados - qualificar",IF(K103&gt;=15,"A - Alta",IF(K103&gt;=8,"B - Média","C - Baixa")))</x:f>
        <x:v>A - Alta</x:v>
      </x:c>
      <x:c r="M103" s="2" t="inlineStr">
        <x:is>
          <x:t xml:space="preserve">Não contatado</x:t>
        </x:is>
      </x:c>
      <x:c r="N103" s="3" t="inlineStr">
        <x:is>
          <x:t xml:space="preserve"/>
        </x:is>
      </x:c>
      <x:c r="O103" s="3" t="inlineStr">
        <x:is>
          <x:t xml:space="preserve"/>
        </x:is>
      </x:c>
      <x:c r="P103" s="26" t="str">
        <x:v>contato@fmxvedacoes.com.br</x:v>
      </x:c>
      <x:c r="Q103" s="3" t="inlineStr">
        <x:is>
          <x:t xml:space="preserve">(16) 99125-4880</x:t>
        </x:is>
      </x:c>
      <x:c r="R103" s="5" t="n"/>
      <x:c r="S103" s="3" t="inlineStr">
        <x:is>
          <x:t xml:space="preserve"/>
        </x:is>
      </x:c>
      <x:c r="T103" s="3" t="inlineStr">
        <x:is>
          <x:t xml:space="preserve"/>
        </x:is>
      </x:c>
      <x:c r="U103" s="26" t="str">
        <x:v>https://www.fmxvedacoes.com.br/</x:v>
      </x:c>
    </x:row>
    <x:row r="104">
      <x:c r="A104" s="2" t="n">
        <x:v>103</x:v>
      </x:c>
      <x:c r="B104" s="3" t="inlineStr">
        <x:is>
          <x:t xml:space="preserve">GSV Rolamentos</x:t>
        </x:is>
      </x:c>
      <x:c r="C104" s="3" t="inlineStr">
        <x:is>
          <x:t xml:space="preserve">Rolamentos/Vedações</x:t>
        </x:is>
      </x:c>
      <x:c r="D104" s="3" t="inlineStr">
        <x:is>
          <x:t xml:space="preserve">Ribeirão Preto</x:t>
        </x:is>
      </x:c>
      <x:c r="E104" s="2" t="inlineStr">
        <x:is>
          <x:t xml:space="preserve">SP</x:t>
        </x:is>
      </x:c>
      <x:c r="F104" s="2" t="inlineStr">
        <x:is>
          <x:t xml:space="preserve">Sudeste</x:t>
        </x:is>
      </x:c>
      <x:c r="G104" s="3" t="inlineStr">
        <x:is>
          <x:t xml:space="preserve">+55 16 3964-5588</x:t>
        </x:is>
      </x:c>
      <x:c r="H104" s="3" t="inlineStr">
        <x:is>
          <x:t xml:space="preserve">R. João Ramalho, 76 - Campos Elísios</x:t>
        </x:is>
      </x:c>
      <x:c r="I104" s="4" t="n">
        <x:v>5</x:v>
      </x:c>
      <x:c r="J104" s="2" t="n">
        <x:v>93</x:v>
      </x:c>
      <x:c r="K104" s="2" t="n">
        <x:f>IF(OR(I104="",J104=""),"",IFERROR(ROUND(I104*LN(J104+1),1),""))</x:f>
        <x:v>22.7</x:v>
      </x:c>
      <x:c r="L104" s="2" t="str">
        <x:f>IF(K104="","Sem dados - qualificar",IF(K104&gt;=15,"A - Alta",IF(K104&gt;=8,"B - Média","C - Baixa")))</x:f>
        <x:v>A - Alta</x:v>
      </x:c>
      <x:c r="M104" s="2" t="inlineStr">
        <x:is>
          <x:t xml:space="preserve">Não contatado</x:t>
        </x:is>
      </x:c>
      <x:c r="N104" s="3" t="inlineStr">
        <x:is>
          <x:t xml:space="preserve"/>
        </x:is>
      </x:c>
      <x:c r="O104" s="3" t="inlineStr">
        <x:is>
          <x:t xml:space="preserve"/>
        </x:is>
      </x:c>
      <x:c r="P104" s="26" t="str">
        <x:v>gsvrolamentos@gsvrolamentos.com.br</x:v>
      </x:c>
      <x:c r="Q104" s="3" t="inlineStr">
        <x:is>
          <x:t xml:space="preserve"/>
        </x:is>
      </x:c>
      <x:c r="R104" s="5" t="n"/>
      <x:c r="S104" s="3" t="inlineStr">
        <x:is>
          <x:t xml:space="preserve"/>
        </x:is>
      </x:c>
      <x:c r="T104" s="3" t="inlineStr">
        <x:is>
          <x:t xml:space="preserve"/>
        </x:is>
      </x:c>
      <x:c r="U104" s="26" t="str">
        <x:v>https://www.gsvrolamentos.com.br/contato</x:v>
      </x:c>
    </x:row>
    <x:row r="105">
      <x:c r="A105" s="2" t="n">
        <x:v>104</x:v>
      </x:c>
      <x:c r="B105" s="3" t="inlineStr">
        <x:is>
          <x:t xml:space="preserve">Real Borrachas Vedações</x:t>
        </x:is>
      </x:c>
      <x:c r="C105" s="3" t="inlineStr">
        <x:is>
          <x:t xml:space="preserve">Vedações</x:t>
        </x:is>
      </x:c>
      <x:c r="D105" s="3" t="inlineStr">
        <x:is>
          <x:t xml:space="preserve">Ribeirão Preto</x:t>
        </x:is>
      </x:c>
      <x:c r="E105" s="2" t="inlineStr">
        <x:is>
          <x:t xml:space="preserve">SP</x:t>
        </x:is>
      </x:c>
      <x:c r="F105" s="2" t="inlineStr">
        <x:is>
          <x:t xml:space="preserve">Sudeste</x:t>
        </x:is>
      </x:c>
      <x:c r="G105" s="3" t="inlineStr">
        <x:is>
          <x:t xml:space="preserve">+55 16 3633-0403</x:t>
        </x:is>
      </x:c>
      <x:c r="H105" s="3" t="inlineStr">
        <x:is>
          <x:t xml:space="preserve">R. Guilherme Schmidt, 1186 - Jd. Antártica</x:t>
        </x:is>
      </x:c>
      <x:c r="I105" s="4" t="n">
        <x:v>4.8</x:v>
      </x:c>
      <x:c r="J105" s="2" t="n">
        <x:v>21</x:v>
      </x:c>
      <x:c r="K105" s="2" t="n">
        <x:f>IF(OR(I105="",J105=""),"",IFERROR(ROUND(I105*LN(J105+1),1),""))</x:f>
        <x:v>14.8</x:v>
      </x:c>
      <x:c r="L105" s="2" t="str">
        <x:f>IF(K105="","Sem dados - qualificar",IF(K105&gt;=15,"A - Alta",IF(K105&gt;=8,"B - Média","C - Baixa")))</x:f>
        <x:v>B - Média</x:v>
      </x:c>
      <x:c r="M105" s="2" t="inlineStr">
        <x:is>
          <x:t xml:space="preserve">Não contatado</x:t>
        </x:is>
      </x:c>
      <x:c r="N105" s="3" t="inlineStr">
        <x:is>
          <x:t xml:space="preserve"/>
        </x:is>
      </x:c>
      <x:c r="O105" s="3" t="inlineStr">
        <x:is>
          <x:t xml:space="preserve"/>
        </x:is>
      </x:c>
      <x:c r="P105" s="26" t="str">
        <x:v>vendas@realborrachasrp.com.br</x:v>
      </x:c>
      <x:c r="Q105" s="3" t="inlineStr">
        <x:is>
          <x:t xml:space="preserve"/>
        </x:is>
      </x:c>
      <x:c r="R105" s="5" t="n"/>
      <x:c r="S105" s="3" t="inlineStr">
        <x:is>
          <x:t xml:space="preserve"/>
        </x:is>
      </x:c>
      <x:c r="T105" s="3" t="inlineStr">
        <x:is>
          <x:t xml:space="preserve"/>
        </x:is>
      </x:c>
      <x:c r="U105" s="26" t="str">
        <x:v>https://www.realborrachasrp.com.br/</x:v>
      </x:c>
    </x:row>
    <x:row r="106">
      <x:c r="A106" s="2" t="n">
        <x:v>105</x:v>
      </x:c>
      <x:c r="B106" s="3" t="inlineStr">
        <x:is>
          <x:t xml:space="preserve">Releved Vedações e Rolamentos</x:t>
        </x:is>
      </x:c>
      <x:c r="C106" s="3" t="inlineStr">
        <x:is>
          <x:t xml:space="preserve">Rolamentos/Vedações</x:t>
        </x:is>
      </x:c>
      <x:c r="D106" s="3" t="inlineStr">
        <x:is>
          <x:t xml:space="preserve">Ribeirão Preto</x:t>
        </x:is>
      </x:c>
      <x:c r="E106" s="2" t="inlineStr">
        <x:is>
          <x:t xml:space="preserve">SP</x:t>
        </x:is>
      </x:c>
      <x:c r="F106" s="2" t="inlineStr">
        <x:is>
          <x:t xml:space="preserve">Sudeste</x:t>
        </x:is>
      </x:c>
      <x:c r="G106" s="3" t="inlineStr">
        <x:is>
          <x:t xml:space="preserve">+55 16 3234-5460</x:t>
        </x:is>
      </x:c>
      <x:c r="H106" s="3" t="inlineStr">
        <x:is>
          <x:t xml:space="preserve">Av. Saudade, 2600 - Campos Elísios</x:t>
        </x:is>
      </x:c>
      <x:c r="I106" s="4" t="n">
        <x:v>4.8</x:v>
      </x:c>
      <x:c r="J106" s="2" t="n">
        <x:v>26</x:v>
      </x:c>
      <x:c r="K106" s="2" t="n">
        <x:f>IF(OR(I106="",J106=""),"",IFERROR(ROUND(I106*LN(J106+1),1),""))</x:f>
        <x:v>15.8</x:v>
      </x:c>
      <x:c r="L106" s="2" t="str">
        <x:f>IF(K106="","Sem dados - qualificar",IF(K106&gt;=15,"A - Alta",IF(K106&gt;=8,"B - Média","C - Baixa")))</x:f>
        <x:v>A - Alta</x:v>
      </x:c>
      <x:c r="M106" s="2" t="inlineStr">
        <x:is>
          <x:t xml:space="preserve">Não contatado</x:t>
        </x:is>
      </x:c>
      <x:c r="N106" s="3" t="inlineStr">
        <x:is>
          <x:t xml:space="preserve"/>
        </x:is>
      </x:c>
      <x:c r="O106" s="3" t="inlineStr">
        <x:is>
          <x:t xml:space="preserve"/>
        </x:is>
      </x:c>
      <x:c r="P106" s="26" t="str"/>
      <x:c r="Q106" s="3" t="inlineStr">
        <x:is>
          <x:t xml:space="preserve"/>
        </x:is>
      </x:c>
      <x:c r="R106" s="5" t="n"/>
      <x:c r="S106" s="3" t="inlineStr">
        <x:is>
          <x:t xml:space="preserve"/>
        </x:is>
      </x:c>
      <x:c r="T106" s="3" t="inlineStr">
        <x:is>
          <x:t xml:space="preserve"/>
        </x:is>
      </x:c>
      <x:c r="U106" s="26" t="str">
        <x:v>Não localizado em fonte pública confiável até 24/07/2026</x:v>
      </x:c>
    </x:row>
    <x:row r="107">
      <x:c r="A107" s="2" t="n">
        <x:v>106</x:v>
      </x:c>
      <x:c r="B107" s="3" t="inlineStr">
        <x:is>
          <x:t xml:space="preserve">Reter Vedações e Serviços</x:t>
        </x:is>
      </x:c>
      <x:c r="C107" s="3" t="inlineStr">
        <x:is>
          <x:t xml:space="preserve">Fabricante/Vedações</x:t>
        </x:is>
      </x:c>
      <x:c r="D107" s="3" t="inlineStr">
        <x:is>
          <x:t xml:space="preserve">Ribeirão Preto</x:t>
        </x:is>
      </x:c>
      <x:c r="E107" s="2" t="inlineStr">
        <x:is>
          <x:t xml:space="preserve">SP</x:t>
        </x:is>
      </x:c>
      <x:c r="F107" s="2" t="inlineStr">
        <x:is>
          <x:t xml:space="preserve">Sudeste</x:t>
        </x:is>
      </x:c>
      <x:c r="G107" s="3" t="inlineStr">
        <x:is>
          <x:t xml:space="preserve">+55 16 3961-2107</x:t>
        </x:is>
      </x:c>
      <x:c r="H107" s="3" t="inlineStr">
        <x:is>
          <x:t xml:space="preserve">R. Anita Garibaldi, 1527 - Campos Elísios</x:t>
        </x:is>
      </x:c>
      <x:c r="I107" s="4" t="n">
        <x:v>5</x:v>
      </x:c>
      <x:c r="J107" s="2" t="n">
        <x:v>2</x:v>
      </x:c>
      <x:c r="K107" s="2" t="n">
        <x:f>IF(OR(I107="",J107=""),"",IFERROR(ROUND(I107*LN(J107+1),1),""))</x:f>
        <x:v>5.5</x:v>
      </x:c>
      <x:c r="L107" s="2" t="str">
        <x:f>IF(K107="","Sem dados - qualificar",IF(K107&gt;=15,"A - Alta",IF(K107&gt;=8,"B - Média","C - Baixa")))</x:f>
        <x:v>C - Baixa</x:v>
      </x:c>
      <x:c r="M107" s="2" t="inlineStr">
        <x:is>
          <x:t xml:space="preserve">Não contatado</x:t>
        </x:is>
      </x:c>
      <x:c r="N107" s="3" t="inlineStr">
        <x:is>
          <x:t xml:space="preserve"/>
        </x:is>
      </x:c>
      <x:c r="O107" s="3" t="inlineStr">
        <x:is>
          <x:t xml:space="preserve"/>
        </x:is>
      </x:c>
      <x:c r="P107" s="26" t="str">
        <x:v>reter@reter.com.br</x:v>
      </x:c>
      <x:c r="Q107" s="3" t="inlineStr">
        <x:is>
          <x:t xml:space="preserve"/>
        </x:is>
      </x:c>
      <x:c r="R107" s="5" t="n"/>
      <x:c r="S107" s="3" t="inlineStr">
        <x:is>
          <x:t xml:space="preserve"/>
        </x:is>
      </x:c>
      <x:c r="T107" s="3" t="inlineStr">
        <x:is>
          <x:t xml:space="preserve"/>
        </x:is>
      </x:c>
      <x:c r="U107" s="26" t="str">
        <x:v>https://reter.com.br/index.php?pagina=contato</x:v>
      </x:c>
    </x:row>
    <x:row r="108">
      <x:c r="A108" s="2" t="n">
        <x:v>107</x:v>
      </x:c>
      <x:c r="B108" s="3" t="inlineStr">
        <x:is>
          <x:t xml:space="preserve">Ribeirão Comércio de Retentores</x:t>
        </x:is>
      </x:c>
      <x:c r="C108" s="3" t="inlineStr">
        <x:is>
          <x:t xml:space="preserve">Vedações</x:t>
        </x:is>
      </x:c>
      <x:c r="D108" s="3" t="inlineStr">
        <x:is>
          <x:t xml:space="preserve">Ribeirão Preto</x:t>
        </x:is>
      </x:c>
      <x:c r="E108" s="2" t="inlineStr">
        <x:is>
          <x:t xml:space="preserve">SP</x:t>
        </x:is>
      </x:c>
      <x:c r="F108" s="2" t="inlineStr">
        <x:is>
          <x:t xml:space="preserve">Sudeste</x:t>
        </x:is>
      </x:c>
      <x:c r="G108" s="3" t="inlineStr">
        <x:is>
          <x:t xml:space="preserve"/>
        </x:is>
      </x:c>
      <x:c r="H108" s="3" t="inlineStr">
        <x:is>
          <x:t xml:space="preserve">R. Santa Catarina, 182 - Ipiranga</x:t>
        </x:is>
      </x:c>
      <x:c r="I108" s="4" t="n">
        <x:v>5</x:v>
      </x:c>
      <x:c r="J108" s="2" t="n">
        <x:v>1</x:v>
      </x:c>
      <x:c r="K108" s="2" t="n">
        <x:f>IF(OR(I108="",J108=""),"",IFERROR(ROUND(I108*LN(J108+1),1),""))</x:f>
        <x:v>3.5</x:v>
      </x:c>
      <x:c r="L108" s="2" t="str">
        <x:f>IF(K108="","Sem dados - qualificar",IF(K108&gt;=15,"A - Alta",IF(K108&gt;=8,"B - Média","C - Baixa")))</x:f>
        <x:v>C - Baixa</x:v>
      </x:c>
      <x:c r="M108" s="2" t="inlineStr">
        <x:is>
          <x:t xml:space="preserve">Não contatado</x:t>
        </x:is>
      </x:c>
      <x:c r="N108" s="3" t="inlineStr">
        <x:is>
          <x:t xml:space="preserve"/>
        </x:is>
      </x:c>
      <x:c r="O108" s="3" t="inlineStr">
        <x:is>
          <x:t xml:space="preserve"/>
        </x:is>
      </x:c>
      <x:c r="P108" s="26" t="str"/>
      <x:c r="Q108" s="3" t="inlineStr">
        <x:is>
          <x:t xml:space="preserve"/>
        </x:is>
      </x:c>
      <x:c r="R108" s="5" t="n"/>
      <x:c r="S108" s="3" t="inlineStr">
        <x:is>
          <x:t xml:space="preserve"/>
        </x:is>
      </x:c>
      <x:c r="T108" s="3" t="inlineStr">
        <x:is>
          <x:t xml:space="preserve"/>
        </x:is>
      </x:c>
      <x:c r="U108" s="26" t="str">
        <x:v>Não localizado em fonte pública confiável até 24/07/2026</x:v>
      </x:c>
    </x:row>
    <x:row r="109">
      <x:c r="A109" s="2" t="n">
        <x:v>108</x:v>
      </x:c>
      <x:c r="B109" s="3" t="inlineStr">
        <x:is>
          <x:t xml:space="preserve">VVE Rolamentos e Retentores</x:t>
        </x:is>
      </x:c>
      <x:c r="C109" s="3" t="inlineStr">
        <x:is>
          <x:t xml:space="preserve">Rolamentos/Vedações</x:t>
        </x:is>
      </x:c>
      <x:c r="D109" s="3" t="inlineStr">
        <x:is>
          <x:t xml:space="preserve">Ribeirão Preto</x:t>
        </x:is>
      </x:c>
      <x:c r="E109" s="2" t="inlineStr">
        <x:is>
          <x:t xml:space="preserve">SP</x:t>
        </x:is>
      </x:c>
      <x:c r="F109" s="2" t="inlineStr">
        <x:is>
          <x:t xml:space="preserve">Sudeste</x:t>
        </x:is>
      </x:c>
      <x:c r="G109" s="3" t="inlineStr">
        <x:is>
          <x:t xml:space="preserve">+55 16 3421-6218</x:t>
        </x:is>
      </x:c>
      <x:c r="H109" s="3" t="inlineStr">
        <x:is>
          <x:t xml:space="preserve">Av. Mogiana, 2415 - Jd. Independência</x:t>
        </x:is>
      </x:c>
      <x:c r="I109" s="4" t="n">
        <x:v>4.9</x:v>
      </x:c>
      <x:c r="J109" s="2" t="n">
        <x:v>146</x:v>
      </x:c>
      <x:c r="K109" s="2" t="n">
        <x:f>IF(OR(I109="",J109=""),"",IFERROR(ROUND(I109*LN(J109+1),1),""))</x:f>
        <x:v>24.5</x:v>
      </x:c>
      <x:c r="L109" s="2" t="str">
        <x:f>IF(K109="","Sem dados - qualificar",IF(K109&gt;=15,"A - Alta",IF(K109&gt;=8,"B - Média","C - Baixa")))</x:f>
        <x:v>A - Alta</x:v>
      </x:c>
      <x:c r="M109" s="2" t="inlineStr">
        <x:is>
          <x:t xml:space="preserve">Não contatado</x:t>
        </x:is>
      </x:c>
      <x:c r="N109" s="3" t="inlineStr">
        <x:is>
          <x:t xml:space="preserve"/>
        </x:is>
      </x:c>
      <x:c r="O109" s="3" t="inlineStr">
        <x:is>
          <x:t xml:space="preserve"/>
        </x:is>
      </x:c>
      <x:c r="P109" s="26" t="str"/>
      <x:c r="Q109" s="3" t="inlineStr">
        <x:is>
          <x:t xml:space="preserve"/>
        </x:is>
      </x:c>
      <x:c r="R109" s="5" t="n"/>
      <x:c r="S109" s="3" t="inlineStr">
        <x:is>
          <x:t xml:space="preserve"/>
        </x:is>
      </x:c>
      <x:c r="T109" s="3" t="inlineStr">
        <x:is>
          <x:t xml:space="preserve"/>
        </x:is>
      </x:c>
      <x:c r="U109" s="26" t="str">
        <x:v>Não localizado em fonte pública confiável até 24/07/2026</x:v>
      </x:c>
    </x:row>
    <x:row r="110">
      <x:c r="A110" s="2" t="n">
        <x:v>109</x:v>
      </x:c>
      <x:c r="B110" s="3" t="inlineStr">
        <x:is>
          <x:t xml:space="preserve">Perfitecnica Perfis Técnicos de Borracha</x:t>
        </x:is>
      </x:c>
      <x:c r="C110" s="3" t="inlineStr">
        <x:is>
          <x:t xml:space="preserve">Fabricante</x:t>
        </x:is>
      </x:c>
      <x:c r="D110" s="3" t="inlineStr">
        <x:is>
          <x:t xml:space="preserve">Salto</x:t>
        </x:is>
      </x:c>
      <x:c r="E110" s="2" t="inlineStr">
        <x:is>
          <x:t xml:space="preserve">SP</x:t>
        </x:is>
      </x:c>
      <x:c r="F110" s="2" t="inlineStr">
        <x:is>
          <x:t xml:space="preserve">Sudeste</x:t>
        </x:is>
      </x:c>
      <x:c r="G110" s="3" t="inlineStr">
        <x:is>
          <x:t xml:space="preserve">+55 11 4029-1655</x:t>
        </x:is>
      </x:c>
      <x:c r="H110" s="3" t="inlineStr">
        <x:is>
          <x:t xml:space="preserve">R. Altena, 129 - Distrito Industrial</x:t>
        </x:is>
      </x:c>
      <x:c r="I110" s="4" t="n">
        <x:v>4.5</x:v>
      </x:c>
      <x:c r="J110" s="2" t="n">
        <x:v>17</x:v>
      </x:c>
      <x:c r="K110" s="2" t="n">
        <x:f>IF(OR(I110="",J110=""),"",IFERROR(ROUND(I110*LN(J110+1),1),""))</x:f>
        <x:v>13</x:v>
      </x:c>
      <x:c r="L110" s="2" t="str">
        <x:f>IF(K110="","Sem dados - qualificar",IF(K110&gt;=15,"A - Alta",IF(K110&gt;=8,"B - Média","C - Baixa")))</x:f>
        <x:v>B - Média</x:v>
      </x:c>
      <x:c r="M110" s="2" t="inlineStr">
        <x:is>
          <x:t xml:space="preserve">Não contatado</x:t>
        </x:is>
      </x:c>
      <x:c r="N110" s="3" t="inlineStr">
        <x:is>
          <x:t xml:space="preserve"/>
        </x:is>
      </x:c>
      <x:c r="O110" s="3" t="inlineStr">
        <x:is>
          <x:t xml:space="preserve"/>
        </x:is>
      </x:c>
      <x:c r="P110" s="26" t="str"/>
      <x:c r="Q110" s="3" t="inlineStr">
        <x:is>
          <x:t xml:space="preserve"/>
        </x:is>
      </x:c>
      <x:c r="R110" s="5" t="n"/>
      <x:c r="S110" s="3" t="inlineStr">
        <x:is>
          <x:t xml:space="preserve"/>
        </x:is>
      </x:c>
      <x:c r="T110" s="3" t="inlineStr">
        <x:is>
          <x:t xml:space="preserve"/>
        </x:is>
      </x:c>
      <x:c r="U110" s="26" t="str">
        <x:v>Não localizado em fonte pública confiável até 24/07/2026</x:v>
      </x:c>
    </x:row>
    <x:row r="111">
      <x:c r="A111" s="2" t="n">
        <x:v>110</x:v>
      </x:c>
      <x:c r="B111" s="3" t="inlineStr">
        <x:is>
          <x:t xml:space="preserve">C B A Borrachas Plásticos e Hidráulica</x:t>
        </x:is>
      </x:c>
      <x:c r="C111" s="3" t="inlineStr">
        <x:is>
          <x:t xml:space="preserve">Hidráulica/Vedações</x:t>
        </x:is>
      </x:c>
      <x:c r="D111" s="3" t="inlineStr">
        <x:is>
          <x:t xml:space="preserve">Santo André</x:t>
        </x:is>
      </x:c>
      <x:c r="E111" s="2" t="inlineStr">
        <x:is>
          <x:t xml:space="preserve">SP</x:t>
        </x:is>
      </x:c>
      <x:c r="F111" s="2" t="inlineStr">
        <x:is>
          <x:t xml:space="preserve">Sudeste</x:t>
        </x:is>
      </x:c>
      <x:c r="G111" s="3" t="inlineStr">
        <x:is>
          <x:t xml:space="preserve">+55 11 4422-4750</x:t>
        </x:is>
      </x:c>
      <x:c r="H111" s="3" t="inlineStr">
        <x:is>
          <x:t xml:space="preserve">Av. Pereira Barreto, 2376 - Paraíso</x:t>
        </x:is>
      </x:c>
      <x:c r="I111" s="4" t="n">
        <x:v>4.5</x:v>
      </x:c>
      <x:c r="J111" s="2" t="n">
        <x:v>78</x:v>
      </x:c>
      <x:c r="K111" s="2" t="n">
        <x:f>IF(OR(I111="",J111=""),"",IFERROR(ROUND(I111*LN(J111+1),1),""))</x:f>
        <x:v>19.7</x:v>
      </x:c>
      <x:c r="L111" s="2" t="str">
        <x:f>IF(K111="","Sem dados - qualificar",IF(K111&gt;=15,"A - Alta",IF(K111&gt;=8,"B - Média","C - Baixa")))</x:f>
        <x:v>A - Alta</x:v>
      </x:c>
      <x:c r="M111" s="2" t="inlineStr">
        <x:is>
          <x:t xml:space="preserve">Não contatado</x:t>
        </x:is>
      </x:c>
      <x:c r="N111" s="3" t="inlineStr">
        <x:is>
          <x:t xml:space="preserve"/>
        </x:is>
      </x:c>
      <x:c r="O111" s="3" t="inlineStr">
        <x:is>
          <x:t xml:space="preserve"/>
        </x:is>
      </x:c>
      <x:c r="P111" s="26" t="str">
        <x:v>cba@cbaborrachas.com.br</x:v>
      </x:c>
      <x:c r="Q111" s="3" t="inlineStr">
        <x:is>
          <x:t xml:space="preserve"/>
        </x:is>
      </x:c>
      <x:c r="R111" s="5" t="n"/>
      <x:c r="S111" s="3" t="inlineStr">
        <x:is>
          <x:t xml:space="preserve"/>
        </x:is>
      </x:c>
      <x:c r="T111" s="3" t="inlineStr">
        <x:is>
          <x:t xml:space="preserve"/>
        </x:is>
      </x:c>
      <x:c r="U111" s="26" t="str">
        <x:v>https://cbaborrachas.com/contato/</x:v>
      </x:c>
    </x:row>
    <x:row r="112">
      <x:c r="A112" s="2" t="n">
        <x:v>111</x:v>
      </x:c>
      <x:c r="B112" s="3" t="inlineStr">
        <x:is>
          <x:t xml:space="preserve">IET Industrial de Espumas Técnicas</x:t>
        </x:is>
      </x:c>
      <x:c r="C112" s="3" t="inlineStr">
        <x:is>
          <x:t xml:space="preserve">Fabricante</x:t>
        </x:is>
      </x:c>
      <x:c r="D112" s="3" t="inlineStr">
        <x:is>
          <x:t xml:space="preserve">Santo André</x:t>
        </x:is>
      </x:c>
      <x:c r="E112" s="2" t="inlineStr">
        <x:is>
          <x:t xml:space="preserve">SP</x:t>
        </x:is>
      </x:c>
      <x:c r="F112" s="2" t="inlineStr">
        <x:is>
          <x:t xml:space="preserve">Sudeste</x:t>
        </x:is>
      </x:c>
      <x:c r="G112" s="3" t="inlineStr">
        <x:is>
          <x:t xml:space="preserve">+55 11 2325-7625</x:t>
        </x:is>
      </x:c>
      <x:c r="H112" s="3" t="inlineStr">
        <x:is>
          <x:t xml:space="preserve">Av. Queirós Filho, 3870 - Vila Guaraciaba</x:t>
        </x:is>
      </x:c>
      <x:c r="I112" s="4" t="n">
        <x:v>5</x:v>
      </x:c>
      <x:c r="J112" s="2" t="n">
        <x:v>6</x:v>
      </x:c>
      <x:c r="K112" s="2" t="n">
        <x:f>IF(OR(I112="",J112=""),"",IFERROR(ROUND(I112*LN(J112+1),1),""))</x:f>
        <x:v>9.7</x:v>
      </x:c>
      <x:c r="L112" s="2" t="str">
        <x:f>IF(K112="","Sem dados - qualificar",IF(K112&gt;=15,"A - Alta",IF(K112&gt;=8,"B - Média","C - Baixa")))</x:f>
        <x:v>B - Média</x:v>
      </x:c>
      <x:c r="M112" s="2" t="inlineStr">
        <x:is>
          <x:t xml:space="preserve">Não contatado</x:t>
        </x:is>
      </x:c>
      <x:c r="N112" s="3" t="inlineStr">
        <x:is>
          <x:t xml:space="preserve"/>
        </x:is>
      </x:c>
      <x:c r="O112" s="3" t="inlineStr">
        <x:is>
          <x:t xml:space="preserve"/>
        </x:is>
      </x:c>
      <x:c r="P112" s="26" t="str">
        <x:v>iet@ietindustrial.com.br</x:v>
      </x:c>
      <x:c r="Q112" s="3" t="inlineStr">
        <x:is>
          <x:t xml:space="preserve"/>
        </x:is>
      </x:c>
      <x:c r="R112" s="5" t="n"/>
      <x:c r="S112" s="3" t="inlineStr">
        <x:is>
          <x:t xml:space="preserve"/>
        </x:is>
      </x:c>
      <x:c r="T112" s="3" t="inlineStr">
        <x:is>
          <x:t xml:space="preserve"/>
        </x:is>
      </x:c>
      <x:c r="U112" s="26" t="str">
        <x:v>https://www.portalnacionaldaindustria.com.br/empresas/iet-industrial-de-espumas-tecnicas</x:v>
      </x:c>
    </x:row>
    <x:row r="113">
      <x:c r="A113" s="2" t="n">
        <x:v>112</x:v>
      </x:c>
      <x:c r="B113" s="3" t="inlineStr">
        <x:is>
          <x:t xml:space="preserve">Vedasan Vedações Santista</x:t>
        </x:is>
      </x:c>
      <x:c r="C113" s="3" t="inlineStr">
        <x:is>
          <x:t xml:space="preserve">Vedações</x:t>
        </x:is>
      </x:c>
      <x:c r="D113" s="3" t="inlineStr">
        <x:is>
          <x:t xml:space="preserve">Santos</x:t>
        </x:is>
      </x:c>
      <x:c r="E113" s="2" t="inlineStr">
        <x:is>
          <x:t xml:space="preserve">SP</x:t>
        </x:is>
      </x:c>
      <x:c r="F113" s="2" t="inlineStr">
        <x:is>
          <x:t xml:space="preserve">Sudeste</x:t>
        </x:is>
      </x:c>
      <x:c r="G113" s="3" t="inlineStr">
        <x:is>
          <x:t xml:space="preserve">+55 13 3232-8860</x:t>
        </x:is>
      </x:c>
      <x:c r="H113" s="3" t="inlineStr">
        <x:is>
          <x:t xml:space="preserve">R. Comendador Martins, 57 - Vila Matias</x:t>
        </x:is>
      </x:c>
      <x:c r="I113" s="4" t="n">
        <x:v>4.6</x:v>
      </x:c>
      <x:c r="J113" s="2" t="n">
        <x:v>85</x:v>
      </x:c>
      <x:c r="K113" s="2" t="n">
        <x:f>IF(OR(I113="",J113=""),"",IFERROR(ROUND(I113*LN(J113+1),1),""))</x:f>
        <x:v>20.5</x:v>
      </x:c>
      <x:c r="L113" s="2" t="str">
        <x:f>IF(K113="","Sem dados - qualificar",IF(K113&gt;=15,"A - Alta",IF(K113&gt;=8,"B - Média","C - Baixa")))</x:f>
        <x:v>A - Alta</x:v>
      </x:c>
      <x:c r="M113" s="2" t="inlineStr">
        <x:is>
          <x:t xml:space="preserve">Não contatado</x:t>
        </x:is>
      </x:c>
      <x:c r="N113" s="3" t="inlineStr">
        <x:is>
          <x:t xml:space="preserve"/>
        </x:is>
      </x:c>
      <x:c r="O113" s="3" t="inlineStr">
        <x:is>
          <x:t xml:space="preserve"/>
        </x:is>
      </x:c>
      <x:c r="P113" s="26" t="str">
        <x:v>vedasan@vedasan.com.br</x:v>
      </x:c>
      <x:c r="Q113" s="3" t="inlineStr">
        <x:is>
          <x:t xml:space="preserve"/>
        </x:is>
      </x:c>
      <x:c r="R113" s="5" t="n"/>
      <x:c r="S113" s="3" t="inlineStr">
        <x:is>
          <x:t xml:space="preserve"/>
        </x:is>
      </x:c>
      <x:c r="T113" s="3" t="inlineStr">
        <x:is>
          <x:t xml:space="preserve"/>
        </x:is>
      </x:c>
      <x:c r="U113" s="26" t="str">
        <x:v>https://vedasan.com.br/site/contatos/</x:v>
      </x:c>
    </x:row>
    <x:row r="114">
      <x:c r="A114" s="2" t="n">
        <x:v>113</x:v>
      </x:c>
      <x:c r="B114" s="3" t="inlineStr">
        <x:is>
          <x:t xml:space="preserve">RDC Rolamentos e Vedações</x:t>
        </x:is>
      </x:c>
      <x:c r="C114" s="3" t="inlineStr">
        <x:is>
          <x:t xml:space="preserve">Rolamentos/Vedações</x:t>
        </x:is>
      </x:c>
      <x:c r="D114" s="3" t="inlineStr">
        <x:is>
          <x:t xml:space="preserve">Sertãozinho</x:t>
        </x:is>
      </x:c>
      <x:c r="E114" s="2" t="inlineStr">
        <x:is>
          <x:t xml:space="preserve">SP</x:t>
        </x:is>
      </x:c>
      <x:c r="F114" s="2" t="inlineStr">
        <x:is>
          <x:t xml:space="preserve">Sudeste</x:t>
        </x:is>
      </x:c>
      <x:c r="G114" s="3" t="inlineStr">
        <x:is>
          <x:t xml:space="preserve">+55 16 99720-5657</x:t>
        </x:is>
      </x:c>
      <x:c r="H114" s="3" t="inlineStr">
        <x:is>
          <x:t xml:space="preserve">Av. Affonso Trigo, 585C - Jd. Golive</x:t>
        </x:is>
      </x:c>
      <x:c r="I114" s="4" t="n">
        <x:v>5</x:v>
      </x:c>
      <x:c r="J114" s="2" t="n">
        <x:v>1</x:v>
      </x:c>
      <x:c r="K114" s="2" t="n">
        <x:f>IF(OR(I114="",J114=""),"",IFERROR(ROUND(I114*LN(J114+1),1),""))</x:f>
        <x:v>3.5</x:v>
      </x:c>
      <x:c r="L114" s="2" t="str">
        <x:f>IF(K114="","Sem dados - qualificar",IF(K114&gt;=15,"A - Alta",IF(K114&gt;=8,"B - Média","C - Baixa")))</x:f>
        <x:v>C - Baixa</x:v>
      </x:c>
      <x:c r="M114" s="2" t="inlineStr">
        <x:is>
          <x:t xml:space="preserve">Não contatado</x:t>
        </x:is>
      </x:c>
      <x:c r="N114" s="3" t="inlineStr">
        <x:is>
          <x:t xml:space="preserve"/>
        </x:is>
      </x:c>
      <x:c r="O114" s="3" t="inlineStr">
        <x:is>
          <x:t xml:space="preserve"/>
        </x:is>
      </x:c>
      <x:c r="P114" s="26" t="str"/>
      <x:c r="Q114" s="3" t="inlineStr">
        <x:is>
          <x:t xml:space="preserve"/>
        </x:is>
      </x:c>
      <x:c r="R114" s="5" t="n"/>
      <x:c r="S114" s="3" t="inlineStr">
        <x:is>
          <x:t xml:space="preserve"/>
        </x:is>
      </x:c>
      <x:c r="T114" s="3" t="inlineStr">
        <x:is>
          <x:t xml:space="preserve"/>
        </x:is>
      </x:c>
      <x:c r="U114" s="26" t="str">
        <x:v>Não localizado em fonte pública confiável até 24/07/2026</x:v>
      </x:c>
    </x:row>
    <x:row r="115">
      <x:c r="A115" s="2" t="n">
        <x:v>114</x:v>
      </x:c>
      <x:c r="B115" s="3" t="inlineStr">
        <x:is>
          <x:t xml:space="preserve">Racil Vedações</x:t>
        </x:is>
      </x:c>
      <x:c r="C115" s="3" t="inlineStr">
        <x:is>
          <x:t xml:space="preserve">Fabricante/Vedações</x:t>
        </x:is>
      </x:c>
      <x:c r="D115" s="3" t="inlineStr">
        <x:is>
          <x:t xml:space="preserve">Sertãozinho</x:t>
        </x:is>
      </x:c>
      <x:c r="E115" s="2" t="inlineStr">
        <x:is>
          <x:t xml:space="preserve">SP</x:t>
        </x:is>
      </x:c>
      <x:c r="F115" s="2" t="inlineStr">
        <x:is>
          <x:t xml:space="preserve">Sudeste</x:t>
        </x:is>
      </x:c>
      <x:c r="G115" s="3" t="inlineStr">
        <x:is>
          <x:t xml:space="preserve">+55 16 3942-3144</x:t>
        </x:is>
      </x:c>
      <x:c r="H115" s="3" t="inlineStr">
        <x:is>
          <x:t xml:space="preserve">R. Dr. Antônio Furlan Jr., 973 - Jd. Golive</x:t>
        </x:is>
      </x:c>
      <x:c r="I115" s="4" t="n"/>
      <x:c r="J115" s="2" t="n"/>
      <x:c r="K115" s="2" t="str">
        <x:f>IF(OR(I115="",J115=""),"",IFERROR(ROUND(I115*LN(J115+1),1),""))</x:f>
      </x:c>
      <x:c r="L115" s="2" t="str">
        <x:f>IF(K115="","Sem dados - qualificar",IF(K115&gt;=15,"A - Alta",IF(K115&gt;=8,"B - Média","C - Baixa")))</x:f>
        <x:v>Sem dados - qualificar</x:v>
      </x:c>
      <x:c r="M115" s="2" t="inlineStr">
        <x:is>
          <x:t xml:space="preserve">Não contatado</x:t>
        </x:is>
      </x:c>
      <x:c r="N115" s="3" t="inlineStr">
        <x:is>
          <x:t xml:space="preserve"/>
        </x:is>
      </x:c>
      <x:c r="O115" s="3" t="inlineStr">
        <x:is>
          <x:t xml:space="preserve"/>
        </x:is>
      </x:c>
      <x:c r="P115" s="26" t="str"/>
      <x:c r="Q115" s="3" t="inlineStr">
        <x:is>
          <x:t xml:space="preserve"/>
        </x:is>
      </x:c>
      <x:c r="R115" s="5" t="n"/>
      <x:c r="S115" s="3" t="inlineStr">
        <x:is>
          <x:t xml:space="preserve"/>
        </x:is>
      </x:c>
      <x:c r="T115" s="3" t="inlineStr">
        <x:is>
          <x:t xml:space="preserve"/>
        </x:is>
      </x:c>
      <x:c r="U115" s="26" t="str">
        <x:v>Não localizado em fonte pública confiável até 24/07/2026</x:v>
      </x:c>
    </x:row>
    <x:row r="116">
      <x:c r="A116" s="2" t="n">
        <x:v>115</x:v>
      </x:c>
      <x:c r="B116" s="3" t="inlineStr">
        <x:is>
          <x:t xml:space="preserve">Selo Seal - Vedações Dinâmicas</x:t>
        </x:is>
      </x:c>
      <x:c r="C116" s="3" t="inlineStr">
        <x:is>
          <x:t xml:space="preserve">Fabricante/Vedações</x:t>
        </x:is>
      </x:c>
      <x:c r="D116" s="3" t="inlineStr">
        <x:is>
          <x:t xml:space="preserve">Sertãozinho</x:t>
        </x:is>
      </x:c>
      <x:c r="E116" s="2" t="inlineStr">
        <x:is>
          <x:t xml:space="preserve">SP</x:t>
        </x:is>
      </x:c>
      <x:c r="F116" s="2" t="inlineStr">
        <x:is>
          <x:t xml:space="preserve">Sudeste</x:t>
        </x:is>
      </x:c>
      <x:c r="G116" s="3" t="inlineStr">
        <x:is>
          <x:t xml:space="preserve">+55 16 3947-1744</x:t>
        </x:is>
      </x:c>
      <x:c r="H116" s="3" t="inlineStr">
        <x:is>
          <x:t xml:space="preserve">R. José Bonini, 120 - Centro</x:t>
        </x:is>
      </x:c>
      <x:c r="I116" s="4" t="n">
        <x:v>5</x:v>
      </x:c>
      <x:c r="J116" s="2" t="n">
        <x:v>1</x:v>
      </x:c>
      <x:c r="K116" s="2" t="n">
        <x:f>IF(OR(I116="",J116=""),"",IFERROR(ROUND(I116*LN(J116+1),1),""))</x:f>
        <x:v>3.5</x:v>
      </x:c>
      <x:c r="L116" s="2" t="str">
        <x:f>IF(K116="","Sem dados - qualificar",IF(K116&gt;=15,"A - Alta",IF(K116&gt;=8,"B - Média","C - Baixa")))</x:f>
        <x:v>C - Baixa</x:v>
      </x:c>
      <x:c r="M116" s="2" t="inlineStr">
        <x:is>
          <x:t xml:space="preserve">Não contatado</x:t>
        </x:is>
      </x:c>
      <x:c r="N116" s="3" t="inlineStr">
        <x:is>
          <x:t xml:space="preserve"/>
        </x:is>
      </x:c>
      <x:c r="O116" s="3" t="inlineStr">
        <x:is>
          <x:t xml:space="preserve"/>
        </x:is>
      </x:c>
      <x:c r="P116" s="26" t="str"/>
      <x:c r="Q116" s="3" t="inlineStr">
        <x:is>
          <x:t xml:space="preserve"/>
        </x:is>
      </x:c>
      <x:c r="R116" s="5" t="n"/>
      <x:c r="S116" s="3" t="inlineStr">
        <x:is>
          <x:t xml:space="preserve"/>
        </x:is>
      </x:c>
      <x:c r="T116" s="3" t="inlineStr">
        <x:is>
          <x:t xml:space="preserve"/>
        </x:is>
      </x:c>
      <x:c r="U116" s="26" t="str">
        <x:v>Não localizado em fonte pública confiável até 24/07/2026</x:v>
      </x:c>
    </x:row>
    <x:row r="117">
      <x:c r="A117" s="2" t="n">
        <x:v>116</x:v>
      </x:c>
      <x:c r="B117" s="3" t="inlineStr">
        <x:is>
          <x:t xml:space="preserve">Sertved Vedações Industriais</x:t>
        </x:is>
      </x:c>
      <x:c r="C117" s="3" t="inlineStr">
        <x:is>
          <x:t xml:space="preserve">Vedações</x:t>
        </x:is>
      </x:c>
      <x:c r="D117" s="3" t="inlineStr">
        <x:is>
          <x:t xml:space="preserve">Sertãozinho</x:t>
        </x:is>
      </x:c>
      <x:c r="E117" s="2" t="inlineStr">
        <x:is>
          <x:t xml:space="preserve">SP</x:t>
        </x:is>
      </x:c>
      <x:c r="F117" s="2" t="inlineStr">
        <x:is>
          <x:t xml:space="preserve">Sudeste</x:t>
        </x:is>
      </x:c>
      <x:c r="G117" s="3" t="inlineStr">
        <x:is>
          <x:t xml:space="preserve">+55 16 3042-3593</x:t>
        </x:is>
      </x:c>
      <x:c r="H117" s="3" t="inlineStr">
        <x:is>
          <x:t xml:space="preserve">R. Santo Cornetta, 70</x:t>
        </x:is>
      </x:c>
      <x:c r="I117" s="4" t="n">
        <x:v>3.4</x:v>
      </x:c>
      <x:c r="J117" s="2" t="n">
        <x:v>28</x:v>
      </x:c>
      <x:c r="K117" s="2" t="n">
        <x:f>IF(OR(I117="",J117=""),"",IFERROR(ROUND(I117*LN(J117+1),1),""))</x:f>
        <x:v>11.4</x:v>
      </x:c>
      <x:c r="L117" s="2" t="str">
        <x:f>IF(K117="","Sem dados - qualificar",IF(K117&gt;=15,"A - Alta",IF(K117&gt;=8,"B - Média","C - Baixa")))</x:f>
        <x:v>B - Média</x:v>
      </x:c>
      <x:c r="M117" s="2" t="inlineStr">
        <x:is>
          <x:t xml:space="preserve">Não contatado</x:t>
        </x:is>
      </x:c>
      <x:c r="N117" s="3" t="inlineStr">
        <x:is>
          <x:t xml:space="preserve"/>
        </x:is>
      </x:c>
      <x:c r="O117" s="3" t="inlineStr">
        <x:is>
          <x:t xml:space="preserve"/>
        </x:is>
      </x:c>
      <x:c r="P117" s="26" t="str">
        <x:v>vendas1@sertved.com.br</x:v>
      </x:c>
      <x:c r="Q117" s="3" t="inlineStr">
        <x:is>
          <x:t xml:space="preserve"/>
        </x:is>
      </x:c>
      <x:c r="R117" s="5" t="n"/>
      <x:c r="S117" s="3" t="inlineStr">
        <x:is>
          <x:t xml:space="preserve"/>
        </x:is>
      </x:c>
      <x:c r="T117" s="3" t="inlineStr">
        <x:is>
          <x:t xml:space="preserve"/>
        </x:is>
      </x:c>
      <x:c r="U117" s="26" t="str">
        <x:v>https://sertved.com.br/</x:v>
      </x:c>
    </x:row>
    <x:row r="118">
      <x:c r="A118" s="2" t="n">
        <x:v>117</x:v>
      </x:c>
      <x:c r="B118" s="3" t="inlineStr">
        <x:is>
          <x:t xml:space="preserve">Usina Vedações</x:t>
        </x:is>
      </x:c>
      <x:c r="C118" s="3" t="inlineStr">
        <x:is>
          <x:t xml:space="preserve">Vedações</x:t>
        </x:is>
      </x:c>
      <x:c r="D118" s="3" t="inlineStr">
        <x:is>
          <x:t xml:space="preserve">Sertãozinho</x:t>
        </x:is>
      </x:c>
      <x:c r="E118" s="2" t="inlineStr">
        <x:is>
          <x:t xml:space="preserve">SP</x:t>
        </x:is>
      </x:c>
      <x:c r="F118" s="2" t="inlineStr">
        <x:is>
          <x:t xml:space="preserve">Sudeste</x:t>
        </x:is>
      </x:c>
      <x:c r="G118" s="3" t="inlineStr">
        <x:is>
          <x:t xml:space="preserve">+55 16 3524-7894</x:t>
        </x:is>
      </x:c>
      <x:c r="H118" s="3" t="inlineStr">
        <x:is>
          <x:t xml:space="preserve">Av. Marcos Aurélio Magro, 161 - DI II</x:t>
        </x:is>
      </x:c>
      <x:c r="I118" s="4" t="n">
        <x:v>4.6</x:v>
      </x:c>
      <x:c r="J118" s="2" t="n">
        <x:v>20</x:v>
      </x:c>
      <x:c r="K118" s="2" t="n">
        <x:f>IF(OR(I118="",J118=""),"",IFERROR(ROUND(I118*LN(J118+1),1),""))</x:f>
        <x:v>14</x:v>
      </x:c>
      <x:c r="L118" s="2" t="str">
        <x:f>IF(K118="","Sem dados - qualificar",IF(K118&gt;=15,"A - Alta",IF(K118&gt;=8,"B - Média","C - Baixa")))</x:f>
        <x:v>B - Média</x:v>
      </x:c>
      <x:c r="M118" s="2" t="inlineStr">
        <x:is>
          <x:t xml:space="preserve">Não contatado</x:t>
        </x:is>
      </x:c>
      <x:c r="N118" s="3" t="inlineStr">
        <x:is>
          <x:t xml:space="preserve"/>
        </x:is>
      </x:c>
      <x:c r="O118" s="3" t="inlineStr">
        <x:is>
          <x:t xml:space="preserve"/>
        </x:is>
      </x:c>
      <x:c r="P118" s="26" t="str"/>
      <x:c r="Q118" s="3" t="inlineStr">
        <x:is>
          <x:t xml:space="preserve"/>
        </x:is>
      </x:c>
      <x:c r="R118" s="5" t="n"/>
      <x:c r="S118" s="3" t="inlineStr">
        <x:is>
          <x:t xml:space="preserve"/>
        </x:is>
      </x:c>
      <x:c r="T118" s="3" t="inlineStr">
        <x:is>
          <x:t xml:space="preserve"/>
        </x:is>
      </x:c>
      <x:c r="U118" s="26" t="str">
        <x:v>Não localizado em fonte pública confiável até 24/07/2026</x:v>
      </x:c>
    </x:row>
    <x:row r="119">
      <x:c r="A119" s="2" t="n">
        <x:v>118</x:v>
      </x:c>
      <x:c r="B119" s="3" t="inlineStr">
        <x:is>
          <x:t xml:space="preserve">Vedacert Selos Mecânicos</x:t>
        </x:is>
      </x:c>
      <x:c r="C119" s="3" t="inlineStr">
        <x:is>
          <x:t xml:space="preserve">Selos Mecânicos</x:t>
        </x:is>
      </x:c>
      <x:c r="D119" s="3" t="inlineStr">
        <x:is>
          <x:t xml:space="preserve">Sertãozinho</x:t>
        </x:is>
      </x:c>
      <x:c r="E119" s="2" t="inlineStr">
        <x:is>
          <x:t xml:space="preserve">SP</x:t>
        </x:is>
      </x:c>
      <x:c r="F119" s="2" t="inlineStr">
        <x:is>
          <x:t xml:space="preserve">Sudeste</x:t>
        </x:is>
      </x:c>
      <x:c r="G119" s="3" t="inlineStr">
        <x:is>
          <x:t xml:space="preserve"/>
        </x:is>
      </x:c>
      <x:c r="H119" s="3" t="inlineStr">
        <x:is>
          <x:t xml:space="preserve">Rua Vicente Galatti, 315 - Dist. Empresarial</x:t>
        </x:is>
      </x:c>
      <x:c r="I119" s="4" t="n">
        <x:v>5</x:v>
      </x:c>
      <x:c r="J119" s="2" t="n">
        <x:v>6</x:v>
      </x:c>
      <x:c r="K119" s="2" t="n">
        <x:f>IF(OR(I119="",J119=""),"",IFERROR(ROUND(I119*LN(J119+1),1),""))</x:f>
        <x:v>9.7</x:v>
      </x:c>
      <x:c r="L119" s="2" t="str">
        <x:f>IF(K119="","Sem dados - qualificar",IF(K119&gt;=15,"A - Alta",IF(K119&gt;=8,"B - Média","C - Baixa")))</x:f>
        <x:v>B - Média</x:v>
      </x:c>
      <x:c r="M119" s="2" t="inlineStr">
        <x:is>
          <x:t xml:space="preserve">Não contatado</x:t>
        </x:is>
      </x:c>
      <x:c r="N119" s="3" t="inlineStr">
        <x:is>
          <x:t xml:space="preserve"/>
        </x:is>
      </x:c>
      <x:c r="O119" s="3" t="inlineStr">
        <x:is>
          <x:t xml:space="preserve"/>
        </x:is>
      </x:c>
      <x:c r="P119" s="26" t="str">
        <x:v>suporte@vedacert.com.br</x:v>
      </x:c>
      <x:c r="Q119" s="3" t="inlineStr">
        <x:is>
          <x:t xml:space="preserve"/>
        </x:is>
      </x:c>
      <x:c r="R119" s="5" t="n"/>
      <x:c r="S119" s="3" t="inlineStr">
        <x:is>
          <x:t xml:space="preserve"/>
        </x:is>
      </x:c>
      <x:c r="T119" s="3" t="inlineStr">
        <x:is>
          <x:t xml:space="preserve"/>
        </x:is>
      </x:c>
      <x:c r="U119" s="26" t="str">
        <x:v>https://www.vedacert.com.br/contato</x:v>
      </x:c>
    </x:row>
    <x:row r="120">
      <x:c r="A120" s="2" t="n">
        <x:v>119</x:v>
      </x:c>
      <x:c r="B120" s="3" t="inlineStr">
        <x:is>
          <x:t xml:space="preserve">Hennings Vedações Hidráulicas</x:t>
        </x:is>
      </x:c>
      <x:c r="C120" s="3" t="inlineStr">
        <x:is>
          <x:t xml:space="preserve">Fabricante/Vedações</x:t>
        </x:is>
      </x:c>
      <x:c r="D120" s="3" t="inlineStr">
        <x:is>
          <x:t xml:space="preserve">Sorocaba</x:t>
        </x:is>
      </x:c>
      <x:c r="E120" s="2" t="inlineStr">
        <x:is>
          <x:t xml:space="preserve">SP</x:t>
        </x:is>
      </x:c>
      <x:c r="F120" s="2" t="inlineStr">
        <x:is>
          <x:t xml:space="preserve">Sudeste</x:t>
        </x:is>
      </x:c>
      <x:c r="G120" s="3" t="inlineStr">
        <x:is>
          <x:t xml:space="preserve"/>
        </x:is>
      </x:c>
      <x:c r="H120" s="3" t="inlineStr">
        <x:is>
          <x:t xml:space="preserve">Av. Gen. Motors, 100</x:t>
        </x:is>
      </x:c>
      <x:c r="I120" s="4" t="n">
        <x:v>5</x:v>
      </x:c>
      <x:c r="J120" s="2" t="n">
        <x:v>3</x:v>
      </x:c>
      <x:c r="K120" s="2" t="n">
        <x:f>IF(OR(I120="",J120=""),"",IFERROR(ROUND(I120*LN(J120+1),1),""))</x:f>
        <x:v>6.9</x:v>
      </x:c>
      <x:c r="L120" s="2" t="str">
        <x:f>IF(K120="","Sem dados - qualificar",IF(K120&gt;=15,"A - Alta",IF(K120&gt;=8,"B - Média","C - Baixa")))</x:f>
        <x:v>C - Baixa</x:v>
      </x:c>
      <x:c r="M120" s="2" t="inlineStr">
        <x:is>
          <x:t xml:space="preserve">Não contatado</x:t>
        </x:is>
      </x:c>
      <x:c r="N120" s="3" t="inlineStr">
        <x:is>
          <x:t xml:space="preserve"/>
        </x:is>
      </x:c>
      <x:c r="O120" s="3" t="inlineStr">
        <x:is>
          <x:t xml:space="preserve"/>
        </x:is>
      </x:c>
      <x:c r="P120" s="26" t="str"/>
      <x:c r="Q120" s="3" t="inlineStr">
        <x:is>
          <x:t xml:space="preserve"/>
        </x:is>
      </x:c>
      <x:c r="R120" s="5" t="n"/>
      <x:c r="S120" s="3" t="inlineStr">
        <x:is>
          <x:t xml:space="preserve"/>
        </x:is>
      </x:c>
      <x:c r="T120" s="3" t="inlineStr">
        <x:is>
          <x:t xml:space="preserve"/>
        </x:is>
      </x:c>
      <x:c r="U120" s="26" t="str">
        <x:v>Não localizado em fonte pública confiável até 24/07/2026</x:v>
      </x:c>
    </x:row>
    <x:row r="121">
      <x:c r="A121" s="2" t="n">
        <x:v>120</x:v>
      </x:c>
      <x:c r="B121" s="3" t="inlineStr">
        <x:is>
          <x:t xml:space="preserve">Plasved Vedações Industriais</x:t>
        </x:is>
      </x:c>
      <x:c r="C121" s="3" t="inlineStr">
        <x:is>
          <x:t xml:space="preserve">Vedações</x:t>
        </x:is>
      </x:c>
      <x:c r="D121" s="3" t="inlineStr">
        <x:is>
          <x:t xml:space="preserve">Sorocaba</x:t>
        </x:is>
      </x:c>
      <x:c r="E121" s="2" t="inlineStr">
        <x:is>
          <x:t xml:space="preserve">SP</x:t>
        </x:is>
      </x:c>
      <x:c r="F121" s="2" t="inlineStr">
        <x:is>
          <x:t xml:space="preserve">Sudeste</x:t>
        </x:is>
      </x:c>
      <x:c r="G121" s="3" t="inlineStr">
        <x:is>
          <x:t xml:space="preserve">+55 15 3023-1210</x:t>
        </x:is>
      </x:c>
      <x:c r="H121" s="3" t="inlineStr">
        <x:is>
          <x:t xml:space="preserve">Av. Ipanema, 2660 - Vila Nova Sorocaba</x:t>
        </x:is>
      </x:c>
      <x:c r="I121" s="4" t="n">
        <x:v>4.9</x:v>
      </x:c>
      <x:c r="J121" s="2" t="n">
        <x:v>9</x:v>
      </x:c>
      <x:c r="K121" s="2" t="n">
        <x:f>IF(OR(I121="",J121=""),"",IFERROR(ROUND(I121*LN(J121+1),1),""))</x:f>
        <x:v>11.3</x:v>
      </x:c>
      <x:c r="L121" s="2" t="str">
        <x:f>IF(K121="","Sem dados - qualificar",IF(K121&gt;=15,"A - Alta",IF(K121&gt;=8,"B - Média","C - Baixa")))</x:f>
        <x:v>B - Média</x:v>
      </x:c>
      <x:c r="M121" s="2" t="inlineStr">
        <x:is>
          <x:t xml:space="preserve">Não contatado</x:t>
        </x:is>
      </x:c>
      <x:c r="N121" s="3" t="inlineStr">
        <x:is>
          <x:t xml:space="preserve"/>
        </x:is>
      </x:c>
      <x:c r="O121" s="3" t="inlineStr">
        <x:is>
          <x:t xml:space="preserve"/>
        </x:is>
      </x:c>
      <x:c r="P121" s="26" t="str">
        <x:v>comercial@plasved.com.br</x:v>
      </x:c>
      <x:c r="Q121" s="3" t="inlineStr">
        <x:is>
          <x:t xml:space="preserve"/>
        </x:is>
      </x:c>
      <x:c r="R121" s="5" t="n"/>
      <x:c r="S121" s="3" t="inlineStr">
        <x:is>
          <x:t xml:space="preserve"/>
        </x:is>
      </x:c>
      <x:c r="T121" s="3" t="inlineStr">
        <x:is>
          <x:t xml:space="preserve"/>
        </x:is>
      </x:c>
      <x:c r="U121" s="26" t="str">
        <x:v>https://www.plasved.com.br/contato</x:v>
      </x:c>
    </x:row>
    <x:row r="122">
      <x:c r="A122" s="2" t="n">
        <x:v>121</x:v>
      </x:c>
      <x:c r="B122" s="3" t="inlineStr">
        <x:is>
          <x:t xml:space="preserve">Seals Makita Industrial Accessories</x:t>
        </x:is>
      </x:c>
      <x:c r="C122" s="3" t="inlineStr">
        <x:is>
          <x:t xml:space="preserve">Vedações</x:t>
        </x:is>
      </x:c>
      <x:c r="D122" s="3" t="inlineStr">
        <x:is>
          <x:t xml:space="preserve">Sorocaba</x:t>
        </x:is>
      </x:c>
      <x:c r="E122" s="2" t="inlineStr">
        <x:is>
          <x:t xml:space="preserve">SP</x:t>
        </x:is>
      </x:c>
      <x:c r="F122" s="2" t="inlineStr">
        <x:is>
          <x:t xml:space="preserve">Sudeste</x:t>
        </x:is>
      </x:c>
      <x:c r="G122" s="3" t="inlineStr">
        <x:is>
          <x:t xml:space="preserve">+55 15 3229-2111</x:t>
        </x:is>
      </x:c>
      <x:c r="H122" s="3" t="inlineStr">
        <x:is>
          <x:t xml:space="preserve">Av. Independência, 1251 - Iporanga</x:t>
        </x:is>
      </x:c>
      <x:c r="I122" s="4" t="n">
        <x:v>4.7</x:v>
      </x:c>
      <x:c r="J122" s="2" t="n">
        <x:v>91</x:v>
      </x:c>
      <x:c r="K122" s="2" t="n">
        <x:f>IF(OR(I122="",J122=""),"",IFERROR(ROUND(I122*LN(J122+1),1),""))</x:f>
        <x:v>21.3</x:v>
      </x:c>
      <x:c r="L122" s="2" t="str">
        <x:f>IF(K122="","Sem dados - qualificar",IF(K122&gt;=15,"A - Alta",IF(K122&gt;=8,"B - Média","C - Baixa")))</x:f>
        <x:v>A - Alta</x:v>
      </x:c>
      <x:c r="M122" s="2" t="inlineStr">
        <x:is>
          <x:t xml:space="preserve">Não contatado</x:t>
        </x:is>
      </x:c>
      <x:c r="N122" s="3" t="inlineStr">
        <x:is>
          <x:t xml:space="preserve"/>
        </x:is>
      </x:c>
      <x:c r="O122" s="3" t="inlineStr">
        <x:is>
          <x:t xml:space="preserve"/>
        </x:is>
      </x:c>
      <x:c r="P122" s="26" t="str"/>
      <x:c r="Q122" s="3" t="inlineStr">
        <x:is>
          <x:t xml:space="preserve"/>
        </x:is>
      </x:c>
      <x:c r="R122" s="5" t="n"/>
      <x:c r="S122" s="3" t="inlineStr">
        <x:is>
          <x:t xml:space="preserve"/>
        </x:is>
      </x:c>
      <x:c r="T122" s="3" t="inlineStr">
        <x:is>
          <x:t xml:space="preserve"/>
        </x:is>
      </x:c>
      <x:c r="U122" s="26" t="str">
        <x:v>Não localizado em fonte pública confiável até 24/07/2026</x:v>
      </x:c>
    </x:row>
    <x:row r="123">
      <x:c r="A123" s="2" t="n">
        <x:v>122</x:v>
      </x:c>
      <x:c r="B123" s="3" t="inlineStr">
        <x:is>
          <x:t xml:space="preserve">Vedações Promitec</x:t>
        </x:is>
      </x:c>
      <x:c r="C123" s="3" t="inlineStr">
        <x:is>
          <x:t xml:space="preserve">Fabricante/Vedações</x:t>
        </x:is>
      </x:c>
      <x:c r="D123" s="3" t="inlineStr">
        <x:is>
          <x:t xml:space="preserve">Sorocaba</x:t>
        </x:is>
      </x:c>
      <x:c r="E123" s="2" t="inlineStr">
        <x:is>
          <x:t xml:space="preserve">SP</x:t>
        </x:is>
      </x:c>
      <x:c r="F123" s="2" t="inlineStr">
        <x:is>
          <x:t xml:space="preserve">Sudeste</x:t>
        </x:is>
      </x:c>
      <x:c r="G123" s="3" t="inlineStr">
        <x:is>
          <x:t xml:space="preserve">+55 15 3228-6401</x:t>
        </x:is>
      </x:c>
      <x:c r="H123" s="3" t="inlineStr">
        <x:is>
          <x:t xml:space="preserve">Av. Com. Camilo Júlio, 2655 - Jd. Ibiti do Paço</x:t>
        </x:is>
      </x:c>
      <x:c r="I123" s="4" t="n">
        <x:v>4.3</x:v>
      </x:c>
      <x:c r="J123" s="2" t="n">
        <x:v>3</x:v>
      </x:c>
      <x:c r="K123" s="2" t="n">
        <x:f>IF(OR(I123="",J123=""),"",IFERROR(ROUND(I123*LN(J123+1),1),""))</x:f>
        <x:v>6</x:v>
      </x:c>
      <x:c r="L123" s="2" t="str">
        <x:f>IF(K123="","Sem dados - qualificar",IF(K123&gt;=15,"A - Alta",IF(K123&gt;=8,"B - Média","C - Baixa")))</x:f>
        <x:v>C - Baixa</x:v>
      </x:c>
      <x:c r="M123" s="2" t="inlineStr">
        <x:is>
          <x:t xml:space="preserve">Não contatado</x:t>
        </x:is>
      </x:c>
      <x:c r="N123" s="3" t="inlineStr">
        <x:is>
          <x:t xml:space="preserve"/>
        </x:is>
      </x:c>
      <x:c r="O123" s="3" t="inlineStr">
        <x:is>
          <x:t xml:space="preserve"/>
        </x:is>
      </x:c>
      <x:c r="P123" s="26" t="str">
        <x:v>vendas@promitec.com.br</x:v>
      </x:c>
      <x:c r="Q123" s="3" t="inlineStr">
        <x:is>
          <x:t xml:space="preserve"/>
        </x:is>
      </x:c>
      <x:c r="R123" s="5" t="n"/>
      <x:c r="S123" s="3" t="inlineStr">
        <x:is>
          <x:t xml:space="preserve"/>
        </x:is>
      </x:c>
      <x:c r="T123" s="3" t="inlineStr">
        <x:is>
          <x:t xml:space="preserve"/>
        </x:is>
      </x:c>
      <x:c r="U123" s="26" t="str">
        <x:v>https://www.promitec.com.br/contato.html</x:v>
      </x:c>
    </x:row>
    <x:row r="124">
      <x:c r="A124" s="2" t="n">
        <x:v>123</x:v>
      </x:c>
      <x:c r="B124" s="3" t="inlineStr">
        <x:is>
          <x:t xml:space="preserve">Ret Componentes</x:t>
        </x:is>
      </x:c>
      <x:c r="C124" s="3" t="inlineStr">
        <x:is>
          <x:t xml:space="preserve">Vedações</x:t>
        </x:is>
      </x:c>
      <x:c r="D124" s="3" t="inlineStr">
        <x:is>
          <x:t xml:space="preserve">São Bernardo do Campo</x:t>
        </x:is>
      </x:c>
      <x:c r="E124" s="2" t="inlineStr">
        <x:is>
          <x:t xml:space="preserve">SP</x:t>
        </x:is>
      </x:c>
      <x:c r="F124" s="2" t="inlineStr">
        <x:is>
          <x:t xml:space="preserve">Sudeste</x:t>
        </x:is>
      </x:c>
      <x:c r="G124" s="3" t="inlineStr">
        <x:is>
          <x:t xml:space="preserve">+55 11 4339-4011</x:t>
        </x:is>
      </x:c>
      <x:c r="H124" s="3" t="inlineStr">
        <x:is>
          <x:t xml:space="preserve">R. Joaquim Nabuco, 453 - Centro</x:t>
        </x:is>
      </x:c>
      <x:c r="I124" s="4" t="n">
        <x:v>4.7</x:v>
      </x:c>
      <x:c r="J124" s="2" t="n">
        <x:v>34</x:v>
      </x:c>
      <x:c r="K124" s="2" t="n">
        <x:f>IF(OR(I124="",J124=""),"",IFERROR(ROUND(I124*LN(J124+1),1),""))</x:f>
        <x:v>16.7</x:v>
      </x:c>
      <x:c r="L124" s="2" t="str">
        <x:f>IF(K124="","Sem dados - qualificar",IF(K124&gt;=15,"A - Alta",IF(K124&gt;=8,"B - Média","C - Baixa")))</x:f>
        <x:v>A - Alta</x:v>
      </x:c>
      <x:c r="M124" s="2" t="inlineStr">
        <x:is>
          <x:t xml:space="preserve">Não contatado</x:t>
        </x:is>
      </x:c>
      <x:c r="N124" s="3" t="inlineStr">
        <x:is>
          <x:t xml:space="preserve"/>
        </x:is>
      </x:c>
      <x:c r="O124" s="3" t="inlineStr">
        <x:is>
          <x:t xml:space="preserve"/>
        </x:is>
      </x:c>
      <x:c r="P124" s="26" t="str"/>
      <x:c r="Q124" s="3" t="inlineStr">
        <x:is>
          <x:t xml:space="preserve"/>
        </x:is>
      </x:c>
      <x:c r="R124" s="5" t="n"/>
      <x:c r="S124" s="3" t="inlineStr">
        <x:is>
          <x:t xml:space="preserve"/>
        </x:is>
      </x:c>
      <x:c r="T124" s="3" t="inlineStr">
        <x:is>
          <x:t xml:space="preserve"/>
        </x:is>
      </x:c>
      <x:c r="U124" s="26" t="str">
        <x:v>Não localizado em fonte pública confiável até 24/07/2026</x:v>
      </x:c>
    </x:row>
    <x:row r="125">
      <x:c r="A125" s="2" t="n">
        <x:v>124</x:v>
      </x:c>
      <x:c r="B125" s="3" t="inlineStr">
        <x:is>
          <x:t xml:space="preserve">DL Seals Vedações Técnicas</x:t>
        </x:is>
      </x:c>
      <x:c r="C125" s="3" t="inlineStr">
        <x:is>
          <x:t xml:space="preserve">Fabricante/Vedações</x:t>
        </x:is>
      </x:c>
      <x:c r="D125" s="3" t="inlineStr">
        <x:is>
          <x:t xml:space="preserve">São Caetano do Sul</x:t>
        </x:is>
      </x:c>
      <x:c r="E125" s="2" t="inlineStr">
        <x:is>
          <x:t xml:space="preserve">SP</x:t>
        </x:is>
      </x:c>
      <x:c r="F125" s="2" t="inlineStr">
        <x:is>
          <x:t xml:space="preserve">Sudeste</x:t>
        </x:is>
      </x:c>
      <x:c r="G125" s="3" t="inlineStr">
        <x:is>
          <x:t xml:space="preserve">+55 11 2629-5374</x:t>
        </x:is>
      </x:c>
      <x:c r="H125" s="3" t="inlineStr">
        <x:is>
          <x:t xml:space="preserve">R. Silvia, 2122 - Nova Gerti</x:t>
        </x:is>
      </x:c>
      <x:c r="I125" s="4" t="n">
        <x:v>5</x:v>
      </x:c>
      <x:c r="J125" s="2" t="n">
        <x:v>2</x:v>
      </x:c>
      <x:c r="K125" s="2" t="n">
        <x:f>IF(OR(I125="",J125=""),"",IFERROR(ROUND(I125*LN(J125+1),1),""))</x:f>
        <x:v>5.5</x:v>
      </x:c>
      <x:c r="L125" s="2" t="str">
        <x:f>IF(K125="","Sem dados - qualificar",IF(K125&gt;=15,"A - Alta",IF(K125&gt;=8,"B - Média","C - Baixa")))</x:f>
        <x:v>C - Baixa</x:v>
      </x:c>
      <x:c r="M125" s="2" t="inlineStr">
        <x:is>
          <x:t xml:space="preserve">Não contatado</x:t>
        </x:is>
      </x:c>
      <x:c r="N125" s="3" t="inlineStr">
        <x:is>
          <x:t xml:space="preserve"/>
        </x:is>
      </x:c>
      <x:c r="O125" s="3" t="inlineStr">
        <x:is>
          <x:t xml:space="preserve"/>
        </x:is>
      </x:c>
      <x:c r="P125" s="26" t="str"/>
      <x:c r="Q125" s="3" t="inlineStr">
        <x:is>
          <x:t xml:space="preserve"/>
        </x:is>
      </x:c>
      <x:c r="R125" s="5" t="n"/>
      <x:c r="S125" s="3" t="inlineStr">
        <x:is>
          <x:t xml:space="preserve"/>
        </x:is>
      </x:c>
      <x:c r="T125" s="3" t="inlineStr">
        <x:is>
          <x:t xml:space="preserve"/>
        </x:is>
      </x:c>
      <x:c r="U125" s="26" t="str">
        <x:v>Não localizado em fonte pública confiável até 24/07/2026</x:v>
      </x:c>
    </x:row>
    <x:row r="126">
      <x:c r="A126" s="2" t="n">
        <x:v>125</x:v>
      </x:c>
      <x:c r="B126" s="3" t="inlineStr">
        <x:is>
          <x:t xml:space="preserve">Delta Vedações</x:t>
        </x:is>
      </x:c>
      <x:c r="C126" s="3" t="inlineStr">
        <x:is>
          <x:t xml:space="preserve">Vedações</x:t>
        </x:is>
      </x:c>
      <x:c r="D126" s="3" t="inlineStr">
        <x:is>
          <x:t xml:space="preserve">São José do Rio Preto</x:t>
        </x:is>
      </x:c>
      <x:c r="E126" s="2" t="inlineStr">
        <x:is>
          <x:t xml:space="preserve">SP</x:t>
        </x:is>
      </x:c>
      <x:c r="F126" s="2" t="inlineStr">
        <x:is>
          <x:t xml:space="preserve">Sudeste</x:t>
        </x:is>
      </x:c>
      <x:c r="G126" s="3" t="inlineStr">
        <x:is>
          <x:t xml:space="preserve">+55 17 3234-2037</x:t>
        </x:is>
      </x:c>
      <x:c r="H126" s="3" t="inlineStr">
        <x:is>
          <x:t xml:space="preserve">Av. México, 27 - Jd. América</x:t>
        </x:is>
      </x:c>
      <x:c r="I126" s="4" t="n">
        <x:v>5</x:v>
      </x:c>
      <x:c r="J126" s="2" t="n">
        <x:v>7</x:v>
      </x:c>
      <x:c r="K126" s="2" t="n">
        <x:f>IF(OR(I126="",J126=""),"",IFERROR(ROUND(I126*LN(J126+1),1),""))</x:f>
        <x:v>10.4</x:v>
      </x:c>
      <x:c r="L126" s="2" t="str">
        <x:f>IF(K126="","Sem dados - qualificar",IF(K126&gt;=15,"A - Alta",IF(K126&gt;=8,"B - Média","C - Baixa")))</x:f>
        <x:v>B - Média</x:v>
      </x:c>
      <x:c r="M126" s="2" t="inlineStr">
        <x:is>
          <x:t xml:space="preserve">Não contatado</x:t>
        </x:is>
      </x:c>
      <x:c r="N126" s="3" t="inlineStr">
        <x:is>
          <x:t xml:space="preserve"/>
        </x:is>
      </x:c>
      <x:c r="O126" s="3" t="inlineStr">
        <x:is>
          <x:t xml:space="preserve"/>
        </x:is>
      </x:c>
      <x:c r="P126" s="26" t="str"/>
      <x:c r="Q126" s="3" t="inlineStr">
        <x:is>
          <x:t xml:space="preserve"/>
        </x:is>
      </x:c>
      <x:c r="R126" s="5" t="n"/>
      <x:c r="S126" s="3" t="inlineStr">
        <x:is>
          <x:t xml:space="preserve"/>
        </x:is>
      </x:c>
      <x:c r="T126" s="3" t="inlineStr">
        <x:is>
          <x:t xml:space="preserve"/>
        </x:is>
      </x:c>
      <x:c r="U126" s="26" t="str">
        <x:v>Não localizado em fonte pública confiável até 24/07/2026</x:v>
      </x:c>
    </x:row>
    <x:row r="127">
      <x:c r="A127" s="2" t="n">
        <x:v>126</x:v>
      </x:c>
      <x:c r="B127" s="3" t="inlineStr">
        <x:is>
          <x:t xml:space="preserve">Maxseals Vedações e Componentes Hidráulicos</x:t>
        </x:is>
      </x:c>
      <x:c r="C127" s="3" t="inlineStr">
        <x:is>
          <x:t xml:space="preserve">Hidráulica/Vedações</x:t>
        </x:is>
      </x:c>
      <x:c r="D127" s="3" t="inlineStr">
        <x:is>
          <x:t xml:space="preserve">São José do Rio Preto</x:t>
        </x:is>
      </x:c>
      <x:c r="E127" s="2" t="inlineStr">
        <x:is>
          <x:t xml:space="preserve">SP</x:t>
        </x:is>
      </x:c>
      <x:c r="F127" s="2" t="inlineStr">
        <x:is>
          <x:t xml:space="preserve">Sudeste</x:t>
        </x:is>
      </x:c>
      <x:c r="G127" s="3" t="inlineStr">
        <x:is>
          <x:t xml:space="preserve">+55 17 3513-5552</x:t>
        </x:is>
      </x:c>
      <x:c r="H127" s="3" t="inlineStr">
        <x:is>
          <x:t xml:space="preserve">Res. Cidade Jardim</x:t>
        </x:is>
      </x:c>
      <x:c r="I127" s="4" t="n">
        <x:v>5</x:v>
      </x:c>
      <x:c r="J127" s="2" t="n">
        <x:v>24</x:v>
      </x:c>
      <x:c r="K127" s="2" t="n">
        <x:f>IF(OR(I127="",J127=""),"",IFERROR(ROUND(I127*LN(J127+1),1),""))</x:f>
        <x:v>16.1</x:v>
      </x:c>
      <x:c r="L127" s="2" t="str">
        <x:f>IF(K127="","Sem dados - qualificar",IF(K127&gt;=15,"A - Alta",IF(K127&gt;=8,"B - Média","C - Baixa")))</x:f>
        <x:v>A - Alta</x:v>
      </x:c>
      <x:c r="M127" s="2" t="inlineStr">
        <x:is>
          <x:t xml:space="preserve">Não contatado</x:t>
        </x:is>
      </x:c>
      <x:c r="N127" s="3" t="inlineStr">
        <x:is>
          <x:t xml:space="preserve"/>
        </x:is>
      </x:c>
      <x:c r="O127" s="3" t="inlineStr">
        <x:is>
          <x:t xml:space="preserve"/>
        </x:is>
      </x:c>
      <x:c r="P127" s="26" t="str"/>
      <x:c r="Q127" s="3" t="inlineStr">
        <x:is>
          <x:t xml:space="preserve"/>
        </x:is>
      </x:c>
      <x:c r="R127" s="5" t="n"/>
      <x:c r="S127" s="3" t="inlineStr">
        <x:is>
          <x:t xml:space="preserve"/>
        </x:is>
      </x:c>
      <x:c r="T127" s="3" t="inlineStr">
        <x:is>
          <x:t xml:space="preserve"/>
        </x:is>
      </x:c>
      <x:c r="U127" s="26" t="str">
        <x:v>Não localizado em fonte pública confiável até 24/07/2026</x:v>
      </x:c>
    </x:row>
    <x:row r="128">
      <x:c r="A128" s="2" t="n">
        <x:v>127</x:v>
      </x:c>
      <x:c r="B128" s="3" t="inlineStr">
        <x:is>
          <x:t xml:space="preserve">Rio Preto Vedações</x:t>
        </x:is>
      </x:c>
      <x:c r="C128" s="3" t="inlineStr">
        <x:is>
          <x:t xml:space="preserve">Distribuidora</x:t>
        </x:is>
      </x:c>
      <x:c r="D128" s="3" t="inlineStr">
        <x:is>
          <x:t xml:space="preserve">São José do Rio Preto</x:t>
        </x:is>
      </x:c>
      <x:c r="E128" s="2" t="inlineStr">
        <x:is>
          <x:t xml:space="preserve">SP</x:t>
        </x:is>
      </x:c>
      <x:c r="F128" s="2" t="inlineStr">
        <x:is>
          <x:t xml:space="preserve">Sudeste</x:t>
        </x:is>
      </x:c>
      <x:c r="G128" s="3" t="inlineStr">
        <x:is>
          <x:t xml:space="preserve">+55 17 3302-9000</x:t>
        </x:is>
      </x:c>
      <x:c r="H128" s="3" t="inlineStr">
        <x:is>
          <x:t xml:space="preserve">R. Aparecido B. Pereira, 60 - PI Campo Verde</x:t>
        </x:is>
      </x:c>
      <x:c r="I128" s="4" t="n">
        <x:v>4.6</x:v>
      </x:c>
      <x:c r="J128" s="2" t="n">
        <x:v>73</x:v>
      </x:c>
      <x:c r="K128" s="2" t="n">
        <x:f>IF(OR(I128="",J128=""),"",IFERROR(ROUND(I128*LN(J128+1),1),""))</x:f>
        <x:v>19.8</x:v>
      </x:c>
      <x:c r="L128" s="2" t="str">
        <x:f>IF(K128="","Sem dados - qualificar",IF(K128&gt;=15,"A - Alta",IF(K128&gt;=8,"B - Média","C - Baixa")))</x:f>
        <x:v>A - Alta</x:v>
      </x:c>
      <x:c r="M128" s="2" t="inlineStr">
        <x:is>
          <x:t xml:space="preserve">Não contatado</x:t>
        </x:is>
      </x:c>
      <x:c r="N128" s="3" t="inlineStr">
        <x:is>
          <x:t xml:space="preserve"/>
        </x:is>
      </x:c>
      <x:c r="O128" s="3" t="inlineStr">
        <x:is>
          <x:t xml:space="preserve"/>
        </x:is>
      </x:c>
      <x:c r="P128" s="26" t="str"/>
      <x:c r="Q128" s="3" t="inlineStr">
        <x:is>
          <x:t xml:space="preserve"/>
        </x:is>
      </x:c>
      <x:c r="R128" s="5" t="n"/>
      <x:c r="S128" s="3" t="inlineStr">
        <x:is>
          <x:t xml:space="preserve"/>
        </x:is>
      </x:c>
      <x:c r="T128" s="3" t="inlineStr">
        <x:is>
          <x:t xml:space="preserve"/>
        </x:is>
      </x:c>
      <x:c r="U128" s="26" t="str">
        <x:v>Não localizado em fonte pública confiável até 24/07/2026</x:v>
      </x:c>
    </x:row>
    <x:row r="129">
      <x:c r="A129" s="2" t="n">
        <x:v>128</x:v>
      </x:c>
      <x:c r="B129" s="3" t="inlineStr">
        <x:is>
          <x:t xml:space="preserve">VedaRio</x:t>
        </x:is>
      </x:c>
      <x:c r="C129" s="3" t="inlineStr">
        <x:is>
          <x:t xml:space="preserve">Fabricante/Vedações</x:t>
        </x:is>
      </x:c>
      <x:c r="D129" s="3" t="inlineStr">
        <x:is>
          <x:t xml:space="preserve">São José do Rio Preto</x:t>
        </x:is>
      </x:c>
      <x:c r="E129" s="2" t="inlineStr">
        <x:is>
          <x:t xml:space="preserve">SP</x:t>
        </x:is>
      </x:c>
      <x:c r="F129" s="2" t="inlineStr">
        <x:is>
          <x:t xml:space="preserve">Sudeste</x:t>
        </x:is>
      </x:c>
      <x:c r="G129" s="3" t="inlineStr">
        <x:is>
          <x:t xml:space="preserve">+55 17 3122-9930</x:t>
        </x:is>
      </x:c>
      <x:c r="H129" s="3" t="inlineStr">
        <x:is>
          <x:t xml:space="preserve">Av. Marg. Lineu A. Gil, 5361 - Jd. dos Gomes</x:t>
        </x:is>
      </x:c>
      <x:c r="I129" s="4" t="n">
        <x:v>4.1</x:v>
      </x:c>
      <x:c r="J129" s="2" t="n">
        <x:v>17</x:v>
      </x:c>
      <x:c r="K129" s="2" t="n">
        <x:f>IF(OR(I129="",J129=""),"",IFERROR(ROUND(I129*LN(J129+1),1),""))</x:f>
        <x:v>11.9</x:v>
      </x:c>
      <x:c r="L129" s="2" t="str">
        <x:f>IF(K129="","Sem dados - qualificar",IF(K129&gt;=15,"A - Alta",IF(K129&gt;=8,"B - Média","C - Baixa")))</x:f>
        <x:v>B - Média</x:v>
      </x:c>
      <x:c r="M129" s="2" t="inlineStr">
        <x:is>
          <x:t xml:space="preserve">Não contatado</x:t>
        </x:is>
      </x:c>
      <x:c r="N129" s="3" t="inlineStr">
        <x:is>
          <x:t xml:space="preserve"/>
        </x:is>
      </x:c>
      <x:c r="O129" s="3" t="inlineStr">
        <x:is>
          <x:t xml:space="preserve"/>
        </x:is>
      </x:c>
      <x:c r="P129" s="26" t="str"/>
      <x:c r="Q129" s="3" t="inlineStr">
        <x:is>
          <x:t xml:space="preserve"/>
        </x:is>
      </x:c>
      <x:c r="R129" s="5" t="n"/>
      <x:c r="S129" s="3" t="inlineStr">
        <x:is>
          <x:t xml:space="preserve"/>
        </x:is>
      </x:c>
      <x:c r="T129" s="3" t="inlineStr">
        <x:is>
          <x:t xml:space="preserve"/>
        </x:is>
      </x:c>
      <x:c r="U129" s="26" t="str">
        <x:v>Não localizado em fonte pública confiável até 24/07/2026</x:v>
      </x:c>
    </x:row>
    <x:row r="130">
      <x:c r="A130" s="2" t="n">
        <x:v>129</x:v>
      </x:c>
      <x:c r="B130" s="3" t="inlineStr">
        <x:is>
          <x:t xml:space="preserve">BRSeals Vedações Industriais</x:t>
        </x:is>
      </x:c>
      <x:c r="C130" s="3" t="inlineStr">
        <x:is>
          <x:t xml:space="preserve">Vedações</x:t>
        </x:is>
      </x:c>
      <x:c r="D130" s="3" t="inlineStr">
        <x:is>
          <x:t xml:space="preserve">São José dos Campos</x:t>
        </x:is>
      </x:c>
      <x:c r="E130" s="2" t="inlineStr">
        <x:is>
          <x:t xml:space="preserve">SP</x:t>
        </x:is>
      </x:c>
      <x:c r="F130" s="2" t="inlineStr">
        <x:is>
          <x:t xml:space="preserve">Sudeste</x:t>
        </x:is>
      </x:c>
      <x:c r="G130" s="3" t="inlineStr">
        <x:is>
          <x:t xml:space="preserve">+55 12 3916-3896</x:t>
        </x:is>
      </x:c>
      <x:c r="H130" s="3" t="inlineStr">
        <x:is>
          <x:t xml:space="preserve">R. São João Del Rei, 345 - Bosque dos Eucaliptos</x:t>
        </x:is>
      </x:c>
      <x:c r="I130" s="4" t="n">
        <x:v>4.8</x:v>
      </x:c>
      <x:c r="J130" s="2" t="n">
        <x:v>6</x:v>
      </x:c>
      <x:c r="K130" s="2" t="n">
        <x:f>IF(OR(I130="",J130=""),"",IFERROR(ROUND(I130*LN(J130+1),1),""))</x:f>
        <x:v>9.3</x:v>
      </x:c>
      <x:c r="L130" s="2" t="str">
        <x:f>IF(K130="","Sem dados - qualificar",IF(K130&gt;=15,"A - Alta",IF(K130&gt;=8,"B - Média","C - Baixa")))</x:f>
        <x:v>B - Média</x:v>
      </x:c>
      <x:c r="M130" s="2" t="inlineStr">
        <x:is>
          <x:t xml:space="preserve">Não contatado</x:t>
        </x:is>
      </x:c>
      <x:c r="N130" s="3" t="inlineStr">
        <x:is>
          <x:t xml:space="preserve"/>
        </x:is>
      </x:c>
      <x:c r="O130" s="3" t="inlineStr">
        <x:is>
          <x:t xml:space="preserve"/>
        </x:is>
      </x:c>
      <x:c r="P130" s="26" t="str"/>
      <x:c r="Q130" s="3" t="inlineStr">
        <x:is>
          <x:t xml:space="preserve"/>
        </x:is>
      </x:c>
      <x:c r="R130" s="5" t="n"/>
      <x:c r="S130" s="3" t="inlineStr">
        <x:is>
          <x:t xml:space="preserve"/>
        </x:is>
      </x:c>
      <x:c r="T130" s="3" t="inlineStr">
        <x:is>
          <x:t xml:space="preserve"/>
        </x:is>
      </x:c>
      <x:c r="U130" s="26" t="str">
        <x:v>Não localizado em fonte pública confiável até 24/07/2026</x:v>
      </x:c>
    </x:row>
    <x:row r="131">
      <x:c r="A131" s="2" t="n">
        <x:v>130</x:v>
      </x:c>
      <x:c r="B131" s="3" t="inlineStr">
        <x:is>
          <x:t xml:space="preserve">E.Bertti</x:t>
        </x:is>
      </x:c>
      <x:c r="C131" s="3" t="inlineStr">
        <x:is>
          <x:t xml:space="preserve">Hidráulica/Vedações</x:t>
        </x:is>
      </x:c>
      <x:c r="D131" s="3" t="inlineStr">
        <x:is>
          <x:t xml:space="preserve">São José dos Campos</x:t>
        </x:is>
      </x:c>
      <x:c r="E131" s="2" t="inlineStr">
        <x:is>
          <x:t xml:space="preserve">SP</x:t>
        </x:is>
      </x:c>
      <x:c r="F131" s="2" t="inlineStr">
        <x:is>
          <x:t xml:space="preserve">Sudeste</x:t>
        </x:is>
      </x:c>
      <x:c r="G131" s="3" t="inlineStr">
        <x:is>
          <x:t xml:space="preserve">+55 12 3942-1048</x:t>
        </x:is>
      </x:c>
      <x:c r="H131" s="3" t="inlineStr">
        <x:is>
          <x:t xml:space="preserve">Av. Mal. H. Teixeira Lott, 8344 - Vila Nair</x:t>
        </x:is>
      </x:c>
      <x:c r="I131" s="4" t="n">
        <x:v>4.6</x:v>
      </x:c>
      <x:c r="J131" s="2" t="n">
        <x:v>16</x:v>
      </x:c>
      <x:c r="K131" s="2" t="n">
        <x:f>IF(OR(I131="",J131=""),"",IFERROR(ROUND(I131*LN(J131+1),1),""))</x:f>
        <x:v>13</x:v>
      </x:c>
      <x:c r="L131" s="2" t="str">
        <x:f>IF(K131="","Sem dados - qualificar",IF(K131&gt;=15,"A - Alta",IF(K131&gt;=8,"B - Média","C - Baixa")))</x:f>
        <x:v>B - Média</x:v>
      </x:c>
      <x:c r="M131" s="2" t="inlineStr">
        <x:is>
          <x:t xml:space="preserve">Não contatado</x:t>
        </x:is>
      </x:c>
      <x:c r="N131" s="3" t="inlineStr">
        <x:is>
          <x:t xml:space="preserve"/>
        </x:is>
      </x:c>
      <x:c r="O131" s="3" t="inlineStr">
        <x:is>
          <x:t xml:space="preserve"/>
        </x:is>
      </x:c>
      <x:c r="P131" s="26" t="str">
        <x:v>vendas1@ebertti.com</x:v>
      </x:c>
      <x:c r="Q131" s="3" t="inlineStr">
        <x:is>
          <x:t xml:space="preserve"/>
        </x:is>
      </x:c>
      <x:c r="R131" s="5" t="n"/>
      <x:c r="S131" s="3" t="inlineStr">
        <x:is>
          <x:t xml:space="preserve"/>
        </x:is>
      </x:c>
      <x:c r="T131" s="3" t="inlineStr">
        <x:is>
          <x:t xml:space="preserve"/>
        </x:is>
      </x:c>
      <x:c r="U131" s="26" t="str">
        <x:v>https://www.instagram.com/p/CjV4XzeOiak/</x:v>
      </x:c>
    </x:row>
    <x:row r="132">
      <x:c r="A132" s="2" t="n">
        <x:v>131</x:v>
      </x:c>
      <x:c r="B132" s="3" t="inlineStr">
        <x:is>
          <x:t xml:space="preserve">Silva Vedações</x:t>
        </x:is>
      </x:c>
      <x:c r="C132" s="3" t="inlineStr">
        <x:is>
          <x:t xml:space="preserve">Vedações</x:t>
        </x:is>
      </x:c>
      <x:c r="D132" s="3" t="inlineStr">
        <x:is>
          <x:t xml:space="preserve">São José dos Campos</x:t>
        </x:is>
      </x:c>
      <x:c r="E132" s="2" t="inlineStr">
        <x:is>
          <x:t xml:space="preserve">SP</x:t>
        </x:is>
      </x:c>
      <x:c r="F132" s="2" t="inlineStr">
        <x:is>
          <x:t xml:space="preserve">Sudeste</x:t>
        </x:is>
      </x:c>
      <x:c r="G132" s="3" t="inlineStr">
        <x:is>
          <x:t xml:space="preserve">+55 12 3931-5905</x:t>
        </x:is>
      </x:c>
      <x:c r="H132" s="3" t="inlineStr">
        <x:is>
          <x:t xml:space="preserve">Praça Alvorada, 55 - Jd. Alvorada</x:t>
        </x:is>
      </x:c>
      <x:c r="I132" s="4" t="n"/>
      <x:c r="J132" s="2" t="n"/>
      <x:c r="K132" s="2" t="str">
        <x:f>IF(OR(I132="",J132=""),"",IFERROR(ROUND(I132*LN(J132+1),1),""))</x:f>
      </x:c>
      <x:c r="L132" s="2" t="str">
        <x:f>IF(K132="","Sem dados - qualificar",IF(K132&gt;=15,"A - Alta",IF(K132&gt;=8,"B - Média","C - Baixa")))</x:f>
        <x:v>Sem dados - qualificar</x:v>
      </x:c>
      <x:c r="M132" s="2" t="inlineStr">
        <x:is>
          <x:t xml:space="preserve">Não contatado</x:t>
        </x:is>
      </x:c>
      <x:c r="N132" s="3" t="inlineStr">
        <x:is>
          <x:t xml:space="preserve"/>
        </x:is>
      </x:c>
      <x:c r="O132" s="3" t="inlineStr">
        <x:is>
          <x:t xml:space="preserve"/>
        </x:is>
      </x:c>
      <x:c r="P132" s="26" t="str"/>
      <x:c r="Q132" s="3" t="inlineStr">
        <x:is>
          <x:t xml:space="preserve"/>
        </x:is>
      </x:c>
      <x:c r="R132" s="5" t="n"/>
      <x:c r="S132" s="3" t="inlineStr">
        <x:is>
          <x:t xml:space="preserve"/>
        </x:is>
      </x:c>
      <x:c r="T132" s="3" t="inlineStr">
        <x:is>
          <x:t xml:space="preserve"/>
        </x:is>
      </x:c>
      <x:c r="U132" s="26" t="str">
        <x:v>Não localizado em fonte pública confiável até 24/07/2026</x:v>
      </x:c>
    </x:row>
    <x:row r="133">
      <x:c r="A133" s="2" t="n">
        <x:v>132</x:v>
      </x:c>
      <x:c r="B133" s="3" t="inlineStr">
        <x:is>
          <x:t xml:space="preserve">TMS Vedações</x:t>
        </x:is>
      </x:c>
      <x:c r="C133" s="3" t="inlineStr">
        <x:is>
          <x:t xml:space="preserve">Fabricante/Vedações</x:t>
        </x:is>
      </x:c>
      <x:c r="D133" s="3" t="inlineStr">
        <x:is>
          <x:t xml:space="preserve">São José dos Campos</x:t>
        </x:is>
      </x:c>
      <x:c r="E133" s="2" t="inlineStr">
        <x:is>
          <x:t xml:space="preserve">SP</x:t>
        </x:is>
      </x:c>
      <x:c r="F133" s="2" t="inlineStr">
        <x:is>
          <x:t xml:space="preserve">Sudeste</x:t>
        </x:is>
      </x:c>
      <x:c r="G133" s="3" t="inlineStr">
        <x:is>
          <x:t xml:space="preserve">+55 12 3904-0099</x:t>
        </x:is>
      </x:c>
      <x:c r="H133" s="3" t="inlineStr">
        <x:is>
          <x:t xml:space="preserve">R. Bacabal, 280 - Pq. Industrial</x:t>
        </x:is>
      </x:c>
      <x:c r="I133" s="4" t="n">
        <x:v>4.3</x:v>
      </x:c>
      <x:c r="J133" s="2" t="n">
        <x:v>6</x:v>
      </x:c>
      <x:c r="K133" s="2" t="n">
        <x:f>IF(OR(I133="",J133=""),"",IFERROR(ROUND(I133*LN(J133+1),1),""))</x:f>
        <x:v>8.4</x:v>
      </x:c>
      <x:c r="L133" s="2" t="str">
        <x:f>IF(K133="","Sem dados - qualificar",IF(K133&gt;=15,"A - Alta",IF(K133&gt;=8,"B - Média","C - Baixa")))</x:f>
        <x:v>B - Média</x:v>
      </x:c>
      <x:c r="M133" s="2" t="inlineStr">
        <x:is>
          <x:t xml:space="preserve">Não contatado</x:t>
        </x:is>
      </x:c>
      <x:c r="N133" s="3" t="inlineStr">
        <x:is>
          <x:t xml:space="preserve"/>
        </x:is>
      </x:c>
      <x:c r="O133" s="3" t="inlineStr">
        <x:is>
          <x:t xml:space="preserve"/>
        </x:is>
      </x:c>
      <x:c r="P133" s="26" t="str"/>
      <x:c r="Q133" s="3" t="inlineStr">
        <x:is>
          <x:t xml:space="preserve"/>
        </x:is>
      </x:c>
      <x:c r="R133" s="5" t="n"/>
      <x:c r="S133" s="3" t="inlineStr">
        <x:is>
          <x:t xml:space="preserve"/>
        </x:is>
      </x:c>
      <x:c r="T133" s="3" t="inlineStr">
        <x:is>
          <x:t xml:space="preserve"/>
        </x:is>
      </x:c>
      <x:c r="U133" s="26" t="str">
        <x:v>Não localizado em fonte pública confiável até 24/07/2026</x:v>
      </x:c>
    </x:row>
    <x:row r="134">
      <x:c r="A134" s="2" t="n">
        <x:v>133</x:v>
      </x:c>
      <x:c r="B134" s="3" t="inlineStr">
        <x:is>
          <x:t xml:space="preserve">BGS Distribuidora e Importadora de Rolamentos</x:t>
        </x:is>
      </x:c>
      <x:c r="C134" s="3" t="inlineStr">
        <x:is>
          <x:t xml:space="preserve">Rolamentos/Vedações</x:t>
        </x:is>
      </x:c>
      <x:c r="D134" s="3" t="inlineStr">
        <x:is>
          <x:t xml:space="preserve">São Paulo</x:t>
        </x:is>
      </x:c>
      <x:c r="E134" s="2" t="inlineStr">
        <x:is>
          <x:t xml:space="preserve">SP</x:t>
        </x:is>
      </x:c>
      <x:c r="F134" s="2" t="inlineStr">
        <x:is>
          <x:t xml:space="preserve">Sudeste</x:t>
        </x:is>
      </x:c>
      <x:c r="G134" s="3" t="inlineStr">
        <x:is>
          <x:t xml:space="preserve">+55 11 2241-4888</x:t>
        </x:is>
      </x:c>
      <x:c r="H134" s="3" t="inlineStr">
        <x:is>
          <x:t xml:space="preserve">R. Luís Delgado, 51a - Jd. Modelo</x:t>
        </x:is>
      </x:c>
      <x:c r="I134" s="4" t="n">
        <x:v>5</x:v>
      </x:c>
      <x:c r="J134" s="2" t="n">
        <x:v>1</x:v>
      </x:c>
      <x:c r="K134" s="2" t="n">
        <x:f>IF(OR(I134="",J134=""),"",IFERROR(ROUND(I134*LN(J134+1),1),""))</x:f>
        <x:v>3.5</x:v>
      </x:c>
      <x:c r="L134" s="2" t="str">
        <x:f>IF(K134="","Sem dados - qualificar",IF(K134&gt;=15,"A - Alta",IF(K134&gt;=8,"B - Média","C - Baixa")))</x:f>
        <x:v>C - Baixa</x:v>
      </x:c>
      <x:c r="M134" s="2" t="inlineStr">
        <x:is>
          <x:t xml:space="preserve">Não contatado</x:t>
        </x:is>
      </x:c>
      <x:c r="N134" s="3" t="inlineStr">
        <x:is>
          <x:t xml:space="preserve"/>
        </x:is>
      </x:c>
      <x:c r="O134" s="3" t="inlineStr">
        <x:is>
          <x:t xml:space="preserve"/>
        </x:is>
      </x:c>
      <x:c r="P134" s="26" t="str"/>
      <x:c r="Q134" s="3" t="inlineStr">
        <x:is>
          <x:t xml:space="preserve"/>
        </x:is>
      </x:c>
      <x:c r="R134" s="5" t="n"/>
      <x:c r="S134" s="3" t="inlineStr">
        <x:is>
          <x:t xml:space="preserve"/>
        </x:is>
      </x:c>
      <x:c r="T134" s="3" t="inlineStr">
        <x:is>
          <x:t xml:space="preserve"/>
        </x:is>
      </x:c>
      <x:c r="U134" s="26" t="str">
        <x:v>Não localizado em fonte pública confiável até 24/07/2026</x:v>
      </x:c>
    </x:row>
    <x:row r="135">
      <x:c r="A135" s="2" t="n">
        <x:v>134</x:v>
      </x:c>
      <x:c r="B135" s="3" t="inlineStr">
        <x:is>
          <x:t xml:space="preserve">Brasil Vedações</x:t>
        </x:is>
      </x:c>
      <x:c r="C135" s="3" t="inlineStr">
        <x:is>
          <x:t xml:space="preserve">Vedações</x:t>
        </x:is>
      </x:c>
      <x:c r="D135" s="3" t="inlineStr">
        <x:is>
          <x:t xml:space="preserve">São Paulo</x:t>
        </x:is>
      </x:c>
      <x:c r="E135" s="2" t="inlineStr">
        <x:is>
          <x:t xml:space="preserve">SP</x:t>
        </x:is>
      </x:c>
      <x:c r="F135" s="2" t="inlineStr">
        <x:is>
          <x:t xml:space="preserve">Sudeste</x:t>
        </x:is>
      </x:c>
      <x:c r="G135" s="3" t="inlineStr">
        <x:is>
          <x:t xml:space="preserve">+55 11 3392-2188</x:t>
        </x:is>
      </x:c>
      <x:c r="H135" s="3" t="inlineStr">
        <x:is>
          <x:t xml:space="preserve">R. Boracéa, 174 - Barra Funda</x:t>
        </x:is>
      </x:c>
      <x:c r="I135" s="4" t="n">
        <x:v>4.7</x:v>
      </x:c>
      <x:c r="J135" s="2" t="n">
        <x:v>51</x:v>
      </x:c>
      <x:c r="K135" s="2" t="n">
        <x:f>IF(OR(I135="",J135=""),"",IFERROR(ROUND(I135*LN(J135+1),1),""))</x:f>
        <x:v>18.6</x:v>
      </x:c>
      <x:c r="L135" s="2" t="str">
        <x:f>IF(K135="","Sem dados - qualificar",IF(K135&gt;=15,"A - Alta",IF(K135&gt;=8,"B - Média","C - Baixa")))</x:f>
        <x:v>A - Alta</x:v>
      </x:c>
      <x:c r="M135" s="2" t="inlineStr">
        <x:is>
          <x:t xml:space="preserve">Não contatado</x:t>
        </x:is>
      </x:c>
      <x:c r="N135" s="3" t="inlineStr">
        <x:is>
          <x:t xml:space="preserve"/>
        </x:is>
      </x:c>
      <x:c r="O135" s="3" t="inlineStr">
        <x:is>
          <x:t xml:space="preserve"/>
        </x:is>
      </x:c>
      <x:c r="P135" s="26" t="str">
        <x:v>brasilvedacoes@brasilvedacoes.com.br</x:v>
      </x:c>
      <x:c r="Q135" s="3" t="inlineStr">
        <x:is>
          <x:t xml:space="preserve"/>
        </x:is>
      </x:c>
      <x:c r="R135" s="5" t="n"/>
      <x:c r="S135" s="3" t="inlineStr">
        <x:is>
          <x:t xml:space="preserve"/>
        </x:is>
      </x:c>
      <x:c r="T135" s="3" t="inlineStr">
        <x:is>
          <x:t xml:space="preserve"/>
        </x:is>
      </x:c>
      <x:c r="U135" s="26" t="str">
        <x:v>https://www.brasilvedacoes.com.br/contato</x:v>
      </x:c>
    </x:row>
    <x:row r="136">
      <x:c r="A136" s="2" t="n">
        <x:v>135</x:v>
      </x:c>
      <x:c r="B136" s="3" t="inlineStr">
        <x:is>
          <x:t xml:space="preserve">Dinamarca Rolamentos</x:t>
        </x:is>
      </x:c>
      <x:c r="C136" s="3" t="inlineStr">
        <x:is>
          <x:t xml:space="preserve">Rolamentos/Vedações</x:t>
        </x:is>
      </x:c>
      <x:c r="D136" s="3" t="inlineStr">
        <x:is>
          <x:t xml:space="preserve">São Paulo</x:t>
        </x:is>
      </x:c>
      <x:c r="E136" s="2" t="inlineStr">
        <x:is>
          <x:t xml:space="preserve">SP</x:t>
        </x:is>
      </x:c>
      <x:c r="F136" s="2" t="inlineStr">
        <x:is>
          <x:t xml:space="preserve">Sudeste</x:t>
        </x:is>
      </x:c>
      <x:c r="G136" s="3" t="inlineStr">
        <x:is>
          <x:t xml:space="preserve">+55 11 2632-1313</x:t>
        </x:is>
      </x:c>
      <x:c r="H136" s="3" t="inlineStr">
        <x:is>
          <x:t xml:space="preserve">Av. Serafim G. Pereira, 314 - Pq. Novo Mundo</x:t>
        </x:is>
      </x:c>
      <x:c r="I136" s="4" t="n">
        <x:v>5</x:v>
      </x:c>
      <x:c r="J136" s="2" t="n">
        <x:v>4</x:v>
      </x:c>
      <x:c r="K136" s="2" t="n">
        <x:f>IF(OR(I136="",J136=""),"",IFERROR(ROUND(I136*LN(J136+1),1),""))</x:f>
        <x:v>8</x:v>
      </x:c>
      <x:c r="L136" s="2" t="str">
        <x:f>IF(K136="","Sem dados - qualificar",IF(K136&gt;=15,"A - Alta",IF(K136&gt;=8,"B - Média","C - Baixa")))</x:f>
        <x:v>B - Média</x:v>
      </x:c>
      <x:c r="M136" s="2" t="inlineStr">
        <x:is>
          <x:t xml:space="preserve">Não contatado</x:t>
        </x:is>
      </x:c>
      <x:c r="N136" s="3" t="inlineStr">
        <x:is>
          <x:t xml:space="preserve"/>
        </x:is>
      </x:c>
      <x:c r="O136" s="3" t="inlineStr">
        <x:is>
          <x:t xml:space="preserve"/>
        </x:is>
      </x:c>
      <x:c r="P136" s="26" t="str">
        <x:v>contato@dinamarcarolamentos.com.br</x:v>
      </x:c>
      <x:c r="Q136" s="3" t="inlineStr">
        <x:is>
          <x:t xml:space="preserve"/>
        </x:is>
      </x:c>
      <x:c r="R136" s="5" t="n"/>
      <x:c r="S136" s="3" t="inlineStr">
        <x:is>
          <x:t xml:space="preserve"/>
        </x:is>
      </x:c>
      <x:c r="T136" s="3" t="inlineStr">
        <x:is>
          <x:t xml:space="preserve"/>
        </x:is>
      </x:c>
      <x:c r="U136" s="26" t="str">
        <x:v>https://dinamarcarolamentos.com.br/contato/19</x:v>
      </x:c>
    </x:row>
    <x:row r="137">
      <x:c r="A137" s="2" t="n">
        <x:v>136</x:v>
      </x:c>
      <x:c r="B137" s="3" t="inlineStr">
        <x:is>
          <x:t xml:space="preserve">Encrol Rolamentos e Peças Industriais</x:t>
        </x:is>
      </x:c>
      <x:c r="C137" s="3" t="inlineStr">
        <x:is>
          <x:t xml:space="preserve">Rolamentos/Vedações</x:t>
        </x:is>
      </x:c>
      <x:c r="D137" s="3" t="inlineStr">
        <x:is>
          <x:t xml:space="preserve">São Paulo</x:t>
        </x:is>
      </x:c>
      <x:c r="E137" s="2" t="inlineStr">
        <x:is>
          <x:t xml:space="preserve">SP</x:t>
        </x:is>
      </x:c>
      <x:c r="F137" s="2" t="inlineStr">
        <x:is>
          <x:t xml:space="preserve">Sudeste</x:t>
        </x:is>
      </x:c>
      <x:c r="G137" s="3" t="inlineStr">
        <x:is>
          <x:t xml:space="preserve">+55 11 2905-6464</x:t>
        </x:is>
      </x:c>
      <x:c r="H137" s="3" t="inlineStr">
        <x:is>
          <x:t xml:space="preserve">Av. Ede, 572 - Vila Ede</x:t>
        </x:is>
      </x:c>
      <x:c r="I137" s="4" t="n">
        <x:v>4.9</x:v>
      </x:c>
      <x:c r="J137" s="2" t="n">
        <x:v>75</x:v>
      </x:c>
      <x:c r="K137" s="2" t="n">
        <x:f>IF(OR(I137="",J137=""),"",IFERROR(ROUND(I137*LN(J137+1),1),""))</x:f>
        <x:v>21.2</x:v>
      </x:c>
      <x:c r="L137" s="2" t="str">
        <x:f>IF(K137="","Sem dados - qualificar",IF(K137&gt;=15,"A - Alta",IF(K137&gt;=8,"B - Média","C - Baixa")))</x:f>
        <x:v>A - Alta</x:v>
      </x:c>
      <x:c r="M137" s="2" t="inlineStr">
        <x:is>
          <x:t xml:space="preserve">Não contatado</x:t>
        </x:is>
      </x:c>
      <x:c r="N137" s="3" t="inlineStr">
        <x:is>
          <x:t xml:space="preserve"/>
        </x:is>
      </x:c>
      <x:c r="O137" s="3" t="inlineStr">
        <x:is>
          <x:t xml:space="preserve"/>
        </x:is>
      </x:c>
      <x:c r="P137" s="26" t="str"/>
      <x:c r="Q137" s="3" t="inlineStr">
        <x:is>
          <x:t xml:space="preserve"/>
        </x:is>
      </x:c>
      <x:c r="R137" s="5" t="n"/>
      <x:c r="S137" s="3" t="inlineStr">
        <x:is>
          <x:t xml:space="preserve"/>
        </x:is>
      </x:c>
      <x:c r="T137" s="3" t="inlineStr">
        <x:is>
          <x:t xml:space="preserve"/>
        </x:is>
      </x:c>
      <x:c r="U137" s="26" t="str">
        <x:v>Não localizado em fonte pública confiável até 24/07/2026</x:v>
      </x:c>
    </x:row>
    <x:row r="138">
      <x:c r="A138" s="2" t="n">
        <x:v>137</x:v>
      </x:c>
      <x:c r="B138" s="3" t="inlineStr">
        <x:is>
          <x:t xml:space="preserve">Império Distribuidora de Rolamentos</x:t>
        </x:is>
      </x:c>
      <x:c r="C138" s="3" t="inlineStr">
        <x:is>
          <x:t xml:space="preserve">Rolamentos/Vedações</x:t>
        </x:is>
      </x:c>
      <x:c r="D138" s="3" t="inlineStr">
        <x:is>
          <x:t xml:space="preserve">São Paulo</x:t>
        </x:is>
      </x:c>
      <x:c r="E138" s="2" t="inlineStr">
        <x:is>
          <x:t xml:space="preserve">SP</x:t>
        </x:is>
      </x:c>
      <x:c r="F138" s="2" t="inlineStr">
        <x:is>
          <x:t xml:space="preserve">Sudeste</x:t>
        </x:is>
      </x:c>
      <x:c r="G138" s="3" t="inlineStr">
        <x:is>
          <x:t xml:space="preserve">+55 11 3675-1999</x:t>
        </x:is>
      </x:c>
      <x:c r="H138" s="3" t="inlineStr">
        <x:is>
          <x:t xml:space="preserve">R. Duílio, 620 - Lapa</x:t>
        </x:is>
      </x:c>
      <x:c r="I138" s="4" t="n">
        <x:v>5</x:v>
      </x:c>
      <x:c r="J138" s="2" t="n">
        <x:v>13</x:v>
      </x:c>
      <x:c r="K138" s="2" t="n">
        <x:f>IF(OR(I138="",J138=""),"",IFERROR(ROUND(I138*LN(J138+1),1),""))</x:f>
        <x:v>13.2</x:v>
      </x:c>
      <x:c r="L138" s="2" t="str">
        <x:f>IF(K138="","Sem dados - qualificar",IF(K138&gt;=15,"A - Alta",IF(K138&gt;=8,"B - Média","C - Baixa")))</x:f>
        <x:v>B - Média</x:v>
      </x:c>
      <x:c r="M138" s="2" t="inlineStr">
        <x:is>
          <x:t xml:space="preserve">Não contatado</x:t>
        </x:is>
      </x:c>
      <x:c r="N138" s="3" t="inlineStr">
        <x:is>
          <x:t xml:space="preserve"/>
        </x:is>
      </x:c>
      <x:c r="O138" s="3" t="inlineStr">
        <x:is>
          <x:t xml:space="preserve"/>
        </x:is>
      </x:c>
      <x:c r="P138" s="26" t="str"/>
      <x:c r="Q138" s="3" t="inlineStr">
        <x:is>
          <x:t xml:space="preserve"/>
        </x:is>
      </x:c>
      <x:c r="R138" s="5" t="n"/>
      <x:c r="S138" s="3" t="inlineStr">
        <x:is>
          <x:t xml:space="preserve"/>
        </x:is>
      </x:c>
      <x:c r="T138" s="3" t="inlineStr">
        <x:is>
          <x:t xml:space="preserve"/>
        </x:is>
      </x:c>
      <x:c r="U138" s="26" t="str">
        <x:v>Não localizado em fonte pública confiável até 24/07/2026</x:v>
      </x:c>
    </x:row>
    <x:row r="139">
      <x:c r="A139" s="2" t="n">
        <x:v>138</x:v>
      </x:c>
      <x:c r="B139" s="3" t="inlineStr">
        <x:is>
          <x:t xml:space="preserve">Mult Rubber Vedações Industriais</x:t>
        </x:is>
      </x:c>
      <x:c r="C139" s="3" t="inlineStr">
        <x:is>
          <x:t xml:space="preserve">Vedações</x:t>
        </x:is>
      </x:c>
      <x:c r="D139" s="3" t="inlineStr">
        <x:is>
          <x:t xml:space="preserve">São Paulo</x:t>
        </x:is>
      </x:c>
      <x:c r="E139" s="2" t="inlineStr">
        <x:is>
          <x:t xml:space="preserve">SP</x:t>
        </x:is>
      </x:c>
      <x:c r="F139" s="2" t="inlineStr">
        <x:is>
          <x:t xml:space="preserve">Sudeste</x:t>
        </x:is>
      </x:c>
      <x:c r="G139" s="3" t="inlineStr">
        <x:is>
          <x:t xml:space="preserve">+55 11 3856-9000</x:t>
        </x:is>
      </x:c>
      <x:c r="H139" s="3" t="inlineStr">
        <x:is>
          <x:t xml:space="preserve">R. Carolina Soares, 910 - Vila Diva</x:t>
        </x:is>
      </x:c>
      <x:c r="I139" s="4" t="n">
        <x:v>4.6</x:v>
      </x:c>
      <x:c r="J139" s="2" t="n">
        <x:v>14</x:v>
      </x:c>
      <x:c r="K139" s="2" t="n">
        <x:f>IF(OR(I139="",J139=""),"",IFERROR(ROUND(I139*LN(J139+1),1),""))</x:f>
        <x:v>12.5</x:v>
      </x:c>
      <x:c r="L139" s="2" t="str">
        <x:f>IF(K139="","Sem dados - qualificar",IF(K139&gt;=15,"A - Alta",IF(K139&gt;=8,"B - Média","C - Baixa")))</x:f>
        <x:v>B - Média</x:v>
      </x:c>
      <x:c r="M139" s="2" t="inlineStr">
        <x:is>
          <x:t xml:space="preserve">Não contatado</x:t>
        </x:is>
      </x:c>
      <x:c r="N139" s="3" t="inlineStr">
        <x:is>
          <x:t xml:space="preserve"/>
        </x:is>
      </x:c>
      <x:c r="O139" s="3" t="inlineStr">
        <x:is>
          <x:t xml:space="preserve"/>
        </x:is>
      </x:c>
      <x:c r="P139" s="26" t="str"/>
      <x:c r="Q139" s="3" t="inlineStr">
        <x:is>
          <x:t xml:space="preserve"/>
        </x:is>
      </x:c>
      <x:c r="R139" s="5" t="n"/>
      <x:c r="S139" s="3" t="inlineStr">
        <x:is>
          <x:t xml:space="preserve"/>
        </x:is>
      </x:c>
      <x:c r="T139" s="3" t="inlineStr">
        <x:is>
          <x:t xml:space="preserve"/>
        </x:is>
      </x:c>
      <x:c r="U139" s="26" t="str">
        <x:v>Não localizado em fonte pública confiável até 24/07/2026</x:v>
      </x:c>
    </x:row>
    <x:row r="140">
      <x:c r="A140" s="2" t="n">
        <x:v>139</x:v>
      </x:c>
      <x:c r="B140" s="3" t="inlineStr">
        <x:is>
          <x:t xml:space="preserve">RTE Distribuidora de Rolamentos e Mancais</x:t>
        </x:is>
      </x:c>
      <x:c r="C140" s="3" t="inlineStr">
        <x:is>
          <x:t xml:space="preserve">Rolamentos/Vedações</x:t>
        </x:is>
      </x:c>
      <x:c r="D140" s="3" t="inlineStr">
        <x:is>
          <x:t xml:space="preserve">São Paulo</x:t>
        </x:is>
      </x:c>
      <x:c r="E140" s="2" t="inlineStr">
        <x:is>
          <x:t xml:space="preserve">SP</x:t>
        </x:is>
      </x:c>
      <x:c r="F140" s="2" t="inlineStr">
        <x:is>
          <x:t xml:space="preserve">Sudeste</x:t>
        </x:is>
      </x:c>
      <x:c r="G140" s="3" t="inlineStr">
        <x:is>
          <x:t xml:space="preserve">+55 11 2243-2222</x:t>
        </x:is>
      </x:c>
      <x:c r="H140" s="3" t="inlineStr">
        <x:is>
          <x:t xml:space="preserve">R. Semyon Kirlian, 92 - Pq. Edu Chaves</x:t>
        </x:is>
      </x:c>
      <x:c r="I140" s="4" t="n">
        <x:v>3.9</x:v>
      </x:c>
      <x:c r="J140" s="2" t="n">
        <x:v>116</x:v>
      </x:c>
      <x:c r="K140" s="2" t="n">
        <x:f>IF(OR(I140="",J140=""),"",IFERROR(ROUND(I140*LN(J140+1),1),""))</x:f>
        <x:v>18.6</x:v>
      </x:c>
      <x:c r="L140" s="2" t="str">
        <x:f>IF(K140="","Sem dados - qualificar",IF(K140&gt;=15,"A - Alta",IF(K140&gt;=8,"B - Média","C - Baixa")))</x:f>
        <x:v>A - Alta</x:v>
      </x:c>
      <x:c r="M140" s="2" t="inlineStr">
        <x:is>
          <x:t xml:space="preserve">Não contatado</x:t>
        </x:is>
      </x:c>
      <x:c r="N140" s="3" t="inlineStr">
        <x:is>
          <x:t xml:space="preserve"/>
        </x:is>
      </x:c>
      <x:c r="O140" s="3" t="inlineStr">
        <x:is>
          <x:t xml:space="preserve"/>
        </x:is>
      </x:c>
      <x:c r="P140" s="26" t="str">
        <x:v>vendas@rtedistribuidora.com.br</x:v>
      </x:c>
      <x:c r="Q140" s="3" t="inlineStr">
        <x:is>
          <x:t xml:space="preserve"/>
        </x:is>
      </x:c>
      <x:c r="R140" s="5" t="n"/>
      <x:c r="S140" s="3" t="inlineStr">
        <x:is>
          <x:t xml:space="preserve"/>
        </x:is>
      </x:c>
      <x:c r="T140" s="3" t="inlineStr">
        <x:is>
          <x:t xml:space="preserve"/>
        </x:is>
      </x:c>
      <x:c r="U140" s="26" t="str">
        <x:v>https://www.instagram.com/rterolamentos/</x:v>
      </x:c>
    </x:row>
    <x:row r="141">
      <x:c r="A141" s="2" t="n">
        <x:v>140</x:v>
      </x:c>
      <x:c r="B141" s="3" t="inlineStr">
        <x:is>
          <x:t xml:space="preserve">Retec Vedações Industriais</x:t>
        </x:is>
      </x:c>
      <x:c r="C141" s="3" t="inlineStr">
        <x:is>
          <x:t xml:space="preserve">Fabricante/Vedações</x:t>
        </x:is>
      </x:c>
      <x:c r="D141" s="3" t="inlineStr">
        <x:is>
          <x:t xml:space="preserve">São Paulo</x:t>
        </x:is>
      </x:c>
      <x:c r="E141" s="2" t="inlineStr">
        <x:is>
          <x:t xml:space="preserve">SP</x:t>
        </x:is>
      </x:c>
      <x:c r="F141" s="2" t="inlineStr">
        <x:is>
          <x:t xml:space="preserve">Sudeste</x:t>
        </x:is>
      </x:c>
      <x:c r="G141" s="3" t="inlineStr">
        <x:is>
          <x:t xml:space="preserve">+55 11 3906-1400</x:t>
        </x:is>
      </x:c>
      <x:c r="H141" s="3" t="inlineStr">
        <x:is>
          <x:t xml:space="preserve">R. Manuel Antônio Carvalho, 209 - Vila Clarice</x:t>
        </x:is>
      </x:c>
      <x:c r="I141" s="4" t="n">
        <x:v>5</x:v>
      </x:c>
      <x:c r="J141" s="2" t="n">
        <x:v>2</x:v>
      </x:c>
      <x:c r="K141" s="2" t="n">
        <x:f>IF(OR(I141="",J141=""),"",IFERROR(ROUND(I141*LN(J141+1),1),""))</x:f>
        <x:v>5.5</x:v>
      </x:c>
      <x:c r="L141" s="2" t="str">
        <x:f>IF(K141="","Sem dados - qualificar",IF(K141&gt;=15,"A - Alta",IF(K141&gt;=8,"B - Média","C - Baixa")))</x:f>
        <x:v>C - Baixa</x:v>
      </x:c>
      <x:c r="M141" s="2" t="inlineStr">
        <x:is>
          <x:t xml:space="preserve">Não contatado</x:t>
        </x:is>
      </x:c>
      <x:c r="N141" s="3" t="inlineStr">
        <x:is>
          <x:t xml:space="preserve"/>
        </x:is>
      </x:c>
      <x:c r="O141" s="3" t="inlineStr">
        <x:is>
          <x:t xml:space="preserve"/>
        </x:is>
      </x:c>
      <x:c r="P141" s="26" t="str"/>
      <x:c r="Q141" s="3" t="inlineStr">
        <x:is>
          <x:t xml:space="preserve"/>
        </x:is>
      </x:c>
      <x:c r="R141" s="5" t="n"/>
      <x:c r="S141" s="3" t="inlineStr">
        <x:is>
          <x:t xml:space="preserve"/>
        </x:is>
      </x:c>
      <x:c r="T141" s="3" t="inlineStr">
        <x:is>
          <x:t xml:space="preserve"/>
        </x:is>
      </x:c>
      <x:c r="U141" s="26" t="str">
        <x:v>Não localizado em fonte pública confiável até 24/07/2026</x:v>
      </x:c>
    </x:row>
    <x:row r="142">
      <x:c r="A142" s="2" t="n">
        <x:v>141</x:v>
      </x:c>
      <x:c r="B142" s="3" t="inlineStr">
        <x:is>
          <x:t xml:space="preserve">Retentores Paulista</x:t>
        </x:is>
      </x:c>
      <x:c r="C142" s="3" t="inlineStr">
        <x:is>
          <x:t xml:space="preserve">Fabricante/Vedações</x:t>
        </x:is>
      </x:c>
      <x:c r="D142" s="3" t="inlineStr">
        <x:is>
          <x:t xml:space="preserve">São Paulo</x:t>
        </x:is>
      </x:c>
      <x:c r="E142" s="2" t="inlineStr">
        <x:is>
          <x:t xml:space="preserve">SP</x:t>
        </x:is>
      </x:c>
      <x:c r="F142" s="2" t="inlineStr">
        <x:is>
          <x:t xml:space="preserve">Sudeste</x:t>
        </x:is>
      </x:c>
      <x:c r="G142" s="3" t="inlineStr">
        <x:is>
          <x:t xml:space="preserve">+55 11 2240-7628</x:t>
        </x:is>
      </x:c>
      <x:c r="H142" s="3" t="inlineStr">
        <x:is>
          <x:t xml:space="preserve">R. Major Baracca, 470 - Pq. Edu Chaves</x:t>
        </x:is>
      </x:c>
      <x:c r="I142" s="4" t="n"/>
      <x:c r="J142" s="2" t="n"/>
      <x:c r="K142" s="2" t="str">
        <x:f>IF(OR(I142="",J142=""),"",IFERROR(ROUND(I142*LN(J142+1),1),""))</x:f>
      </x:c>
      <x:c r="L142" s="2" t="str">
        <x:f>IF(K142="","Sem dados - qualificar",IF(K142&gt;=15,"A - Alta",IF(K142&gt;=8,"B - Média","C - Baixa")))</x:f>
        <x:v>Sem dados - qualificar</x:v>
      </x:c>
      <x:c r="M142" s="2" t="inlineStr">
        <x:is>
          <x:t xml:space="preserve">Não contatado</x:t>
        </x:is>
      </x:c>
      <x:c r="N142" s="3" t="inlineStr">
        <x:is>
          <x:t xml:space="preserve"/>
        </x:is>
      </x:c>
      <x:c r="O142" s="3" t="inlineStr">
        <x:is>
          <x:t xml:space="preserve"/>
        </x:is>
      </x:c>
      <x:c r="P142" s="26" t="str">
        <x:v>marcelo@retentorespaulista.com.br</x:v>
      </x:c>
      <x:c r="Q142" s="3" t="inlineStr">
        <x:is>
          <x:t xml:space="preserve">(11) 99659-9468</x:t>
        </x:is>
      </x:c>
      <x:c r="R142" s="5" t="n"/>
      <x:c r="S142" s="3" t="inlineStr">
        <x:is>
          <x:t xml:space="preserve"/>
        </x:is>
      </x:c>
      <x:c r="T142" s="3" t="inlineStr">
        <x:is>
          <x:t xml:space="preserve"/>
        </x:is>
      </x:c>
      <x:c r="U142" s="26" t="str">
        <x:v>https://www.retentorespaulista.com.br/</x:v>
      </x:c>
    </x:row>
    <x:row r="143">
      <x:c r="A143" s="2" t="n">
        <x:v>142</x:v>
      </x:c>
      <x:c r="B143" s="3" t="inlineStr">
        <x:is>
          <x:t xml:space="preserve">Rolatel Comércio de Rolamentos</x:t>
        </x:is>
      </x:c>
      <x:c r="C143" s="3" t="inlineStr">
        <x:is>
          <x:t xml:space="preserve">Rolamentos/Vedações</x:t>
        </x:is>
      </x:c>
      <x:c r="D143" s="3" t="inlineStr">
        <x:is>
          <x:t xml:space="preserve">São Paulo</x:t>
        </x:is>
      </x:c>
      <x:c r="E143" s="2" t="inlineStr">
        <x:is>
          <x:t xml:space="preserve">SP</x:t>
        </x:is>
      </x:c>
      <x:c r="F143" s="2" t="inlineStr">
        <x:is>
          <x:t xml:space="preserve">Sudeste</x:t>
        </x:is>
      </x:c>
      <x:c r="G143" s="3" t="inlineStr">
        <x:is>
          <x:t xml:space="preserve">+55 11 3030-0688</x:t>
        </x:is>
      </x:c>
      <x:c r="H143" s="3" t="inlineStr">
        <x:is>
          <x:t xml:space="preserve">R. Alvarenga, 2201 - Butantã</x:t>
        </x:is>
      </x:c>
      <x:c r="I143" s="4" t="n">
        <x:v>4.7</x:v>
      </x:c>
      <x:c r="J143" s="2" t="n">
        <x:v>37</x:v>
      </x:c>
      <x:c r="K143" s="2" t="n">
        <x:f>IF(OR(I143="",J143=""),"",IFERROR(ROUND(I143*LN(J143+1),1),""))</x:f>
        <x:v>17.1</x:v>
      </x:c>
      <x:c r="L143" s="2" t="str">
        <x:f>IF(K143="","Sem dados - qualificar",IF(K143&gt;=15,"A - Alta",IF(K143&gt;=8,"B - Média","C - Baixa")))</x:f>
        <x:v>A - Alta</x:v>
      </x:c>
      <x:c r="M143" s="2" t="inlineStr">
        <x:is>
          <x:t xml:space="preserve">Não contatado</x:t>
        </x:is>
      </x:c>
      <x:c r="N143" s="3" t="inlineStr">
        <x:is>
          <x:t xml:space="preserve"/>
        </x:is>
      </x:c>
      <x:c r="O143" s="3" t="inlineStr">
        <x:is>
          <x:t xml:space="preserve"/>
        </x:is>
      </x:c>
      <x:c r="P143" s="26" t="str">
        <x:v>vendas@rolatel.com.br</x:v>
      </x:c>
      <x:c r="Q143" s="3" t="inlineStr">
        <x:is>
          <x:t xml:space="preserve"/>
        </x:is>
      </x:c>
      <x:c r="R143" s="5" t="n"/>
      <x:c r="S143" s="3" t="inlineStr">
        <x:is>
          <x:t xml:space="preserve"/>
        </x:is>
      </x:c>
      <x:c r="T143" s="3" t="inlineStr">
        <x:is>
          <x:t xml:space="preserve"/>
        </x:is>
      </x:c>
      <x:c r="U143" s="26" t="str">
        <x:v>https://www.skf.com/binaries/pub330/Images/Distribuidores-Autorizados-IM-SKF-01-22_tcm_330-565060.pdf</x:v>
      </x:c>
    </x:row>
    <x:row r="144">
      <x:c r="A144" s="2" t="n">
        <x:v>143</x:v>
      </x:c>
      <x:c r="B144" s="3" t="inlineStr">
        <x:is>
          <x:t xml:space="preserve">Romag Bearings &amp; Seals</x:t>
        </x:is>
      </x:c>
      <x:c r="C144" s="3" t="inlineStr">
        <x:is>
          <x:t xml:space="preserve">Rolamentos/Vedações</x:t>
        </x:is>
      </x:c>
      <x:c r="D144" s="3" t="inlineStr">
        <x:is>
          <x:t xml:space="preserve">São Paulo</x:t>
        </x:is>
      </x:c>
      <x:c r="E144" s="2" t="inlineStr">
        <x:is>
          <x:t xml:space="preserve">SP</x:t>
        </x:is>
      </x:c>
      <x:c r="F144" s="2" t="inlineStr">
        <x:is>
          <x:t xml:space="preserve">Sudeste</x:t>
        </x:is>
      </x:c>
      <x:c r="G144" s="3" t="inlineStr">
        <x:is>
          <x:t xml:space="preserve">+55 11 5686-8055</x:t>
        </x:is>
      </x:c>
      <x:c r="H144" s="3" t="inlineStr">
        <x:is>
          <x:t xml:space="preserve">R. Suzana Rodrigues, 27 - Santo Amaro</x:t>
        </x:is>
      </x:c>
      <x:c r="I144" s="4" t="n">
        <x:v>4.4</x:v>
      </x:c>
      <x:c r="J144" s="2" t="n">
        <x:v>28</x:v>
      </x:c>
      <x:c r="K144" s="2" t="n">
        <x:f>IF(OR(I144="",J144=""),"",IFERROR(ROUND(I144*LN(J144+1),1),""))</x:f>
        <x:v>14.8</x:v>
      </x:c>
      <x:c r="L144" s="2" t="str">
        <x:f>IF(K144="","Sem dados - qualificar",IF(K144&gt;=15,"A - Alta",IF(K144&gt;=8,"B - Média","C - Baixa")))</x:f>
        <x:v>B - Média</x:v>
      </x:c>
      <x:c r="M144" s="2" t="inlineStr">
        <x:is>
          <x:t xml:space="preserve">Não contatado</x:t>
        </x:is>
      </x:c>
      <x:c r="N144" s="3" t="inlineStr">
        <x:is>
          <x:t xml:space="preserve"/>
        </x:is>
      </x:c>
      <x:c r="O144" s="3" t="inlineStr">
        <x:is>
          <x:t xml:space="preserve"/>
        </x:is>
      </x:c>
      <x:c r="P144" s="26" t="str">
        <x:v>romag@romagrolamentos.com.br</x:v>
      </x:c>
      <x:c r="Q144" s="3" t="inlineStr">
        <x:is>
          <x:t xml:space="preserve"/>
        </x:is>
      </x:c>
      <x:c r="R144" s="5" t="n"/>
      <x:c r="S144" s="3" t="inlineStr">
        <x:is>
          <x:t xml:space="preserve"/>
        </x:is>
      </x:c>
      <x:c r="T144" s="3" t="inlineStr">
        <x:is>
          <x:t xml:space="preserve"/>
        </x:is>
      </x:c>
      <x:c r="U144" s="26" t="str">
        <x:v>https://www.romagrolamentos.com.br/</x:v>
      </x:c>
    </x:row>
    <x:row r="145">
      <x:c r="A145" s="2" t="n">
        <x:v>144</x:v>
      </x:c>
      <x:c r="B145" s="3" t="inlineStr">
        <x:is>
          <x:t xml:space="preserve">SP Seals</x:t>
        </x:is>
      </x:c>
      <x:c r="C145" s="3" t="inlineStr">
        <x:is>
          <x:t xml:space="preserve">Distribuidor AGEL/APC</x:t>
        </x:is>
      </x:c>
      <x:c r="D145" s="3" t="inlineStr">
        <x:is>
          <x:t xml:space="preserve">São Paulo</x:t>
        </x:is>
      </x:c>
      <x:c r="E145" s="2" t="inlineStr">
        <x:is>
          <x:t xml:space="preserve">SP</x:t>
        </x:is>
      </x:c>
      <x:c r="F145" s="2" t="inlineStr">
        <x:is>
          <x:t xml:space="preserve">Sudeste</x:t>
        </x:is>
      </x:c>
      <x:c r="G145" s="3" t="inlineStr">
        <x:is>
          <x:t xml:space="preserve"/>
        </x:is>
      </x:c>
      <x:c r="H145" s="3" t="inlineStr">
        <x:is>
          <x:t xml:space="preserve">Distribuidor oficial AGEL/APC - SP Capital e Vale</x:t>
        </x:is>
      </x:c>
      <x:c r="I145" s="4" t="n"/>
      <x:c r="J145" s="2" t="n"/>
      <x:c r="K145" s="2" t="str">
        <x:f>IF(OR(I145="",J145=""),"",IFERROR(ROUND(I145*LN(J145+1),1),""))</x:f>
      </x:c>
      <x:c r="L145" s="2" t="str">
        <x:f>IF(K145="","Sem dados - qualificar",IF(K145&gt;=15,"A - Alta",IF(K145&gt;=8,"B - Média","C - Baixa")))</x:f>
        <x:v>Sem dados - qualificar</x:v>
      </x:c>
      <x:c r="M145" s="2" t="inlineStr">
        <x:is>
          <x:t xml:space="preserve">Não contatado</x:t>
        </x:is>
      </x:c>
      <x:c r="N145" s="3" t="inlineStr">
        <x:is>
          <x:t xml:space="preserve"/>
        </x:is>
      </x:c>
      <x:c r="O145" s="3" t="inlineStr">
        <x:is>
          <x:t xml:space="preserve"/>
        </x:is>
      </x:c>
      <x:c r="P145" s="26" t="str">
        <x:v>contato@spseals.com.br</x:v>
      </x:c>
      <x:c r="Q145" s="3" t="inlineStr">
        <x:is>
          <x:t xml:space="preserve"/>
        </x:is>
      </x:c>
      <x:c r="R145" s="5" t="n"/>
      <x:c r="S145" s="3" t="inlineStr">
        <x:is>
          <x:t xml:space="preserve"/>
        </x:is>
      </x:c>
      <x:c r="T145" s="3" t="inlineStr">
        <x:is>
          <x:t xml:space="preserve"/>
        </x:is>
      </x:c>
      <x:c r="U145" s="26" t="str">
        <x:v>https://spseals.com.br/</x:v>
      </x:c>
    </x:row>
    <x:row r="146">
      <x:c r="A146" s="2" t="n">
        <x:v>145</x:v>
      </x:c>
      <x:c r="B146" s="3" t="inlineStr">
        <x:is>
          <x:t xml:space="preserve">Sul Importadora</x:t>
        </x:is>
      </x:c>
      <x:c r="C146" s="3" t="inlineStr">
        <x:is>
          <x:t xml:space="preserve">Rolamentos/Vedações</x:t>
        </x:is>
      </x:c>
      <x:c r="D146" s="3" t="inlineStr">
        <x:is>
          <x:t xml:space="preserve">São Paulo</x:t>
        </x:is>
      </x:c>
      <x:c r="E146" s="2" t="inlineStr">
        <x:is>
          <x:t xml:space="preserve">SP</x:t>
        </x:is>
      </x:c>
      <x:c r="F146" s="2" t="inlineStr">
        <x:is>
          <x:t xml:space="preserve">Sudeste</x:t>
        </x:is>
      </x:c>
      <x:c r="G146" s="3" t="inlineStr">
        <x:is>
          <x:t xml:space="preserve">+55 11 2823-2727</x:t>
        </x:is>
      </x:c>
      <x:c r="H146" s="3" t="inlineStr">
        <x:is>
          <x:t xml:space="preserve">R. Albino Boldasso Gabril, 59</x:t>
        </x:is>
      </x:c>
      <x:c r="I146" s="4" t="n">
        <x:v>5</x:v>
      </x:c>
      <x:c r="J146" s="2" t="n">
        <x:v>5</x:v>
      </x:c>
      <x:c r="K146" s="2" t="n">
        <x:f>IF(OR(I146="",J146=""),"",IFERROR(ROUND(I146*LN(J146+1),1),""))</x:f>
        <x:v>9</x:v>
      </x:c>
      <x:c r="L146" s="2" t="str">
        <x:f>IF(K146="","Sem dados - qualificar",IF(K146&gt;=15,"A - Alta",IF(K146&gt;=8,"B - Média","C - Baixa")))</x:f>
        <x:v>B - Média</x:v>
      </x:c>
      <x:c r="M146" s="2" t="inlineStr">
        <x:is>
          <x:t xml:space="preserve">Não contatado</x:t>
        </x:is>
      </x:c>
      <x:c r="N146" s="3" t="inlineStr">
        <x:is>
          <x:t xml:space="preserve"/>
        </x:is>
      </x:c>
      <x:c r="O146" s="3" t="inlineStr">
        <x:is>
          <x:t xml:space="preserve"/>
        </x:is>
      </x:c>
      <x:c r="P146" s="26" t="str"/>
      <x:c r="Q146" s="3" t="inlineStr">
        <x:is>
          <x:t xml:space="preserve"/>
        </x:is>
      </x:c>
      <x:c r="R146" s="5" t="n"/>
      <x:c r="S146" s="3" t="inlineStr">
        <x:is>
          <x:t xml:space="preserve"/>
        </x:is>
      </x:c>
      <x:c r="T146" s="3" t="inlineStr">
        <x:is>
          <x:t xml:space="preserve"/>
        </x:is>
      </x:c>
      <x:c r="U146" s="26" t="str">
        <x:v>Não localizado em fonte pública confiável até 24/07/2026</x:v>
      </x:c>
    </x:row>
    <x:row r="147">
      <x:c r="A147" s="2" t="n">
        <x:v>146</x:v>
      </x:c>
      <x:c r="B147" s="3" t="inlineStr">
        <x:is>
          <x:t xml:space="preserve">Tecnoveda Retentores Orings e Vedações</x:t>
        </x:is>
      </x:c>
      <x:c r="C147" s="3" t="inlineStr">
        <x:is>
          <x:t xml:space="preserve">Vedações</x:t>
        </x:is>
      </x:c>
      <x:c r="D147" s="3" t="inlineStr">
        <x:is>
          <x:t xml:space="preserve">São Paulo</x:t>
        </x:is>
      </x:c>
      <x:c r="E147" s="2" t="inlineStr">
        <x:is>
          <x:t xml:space="preserve">SP</x:t>
        </x:is>
      </x:c>
      <x:c r="F147" s="2" t="inlineStr">
        <x:is>
          <x:t xml:space="preserve">Sudeste</x:t>
        </x:is>
      </x:c>
      <x:c r="G147" s="3" t="inlineStr">
        <x:is>
          <x:t xml:space="preserve">+55 11 2545-6306</x:t>
        </x:is>
      </x:c>
      <x:c r="H147" s="3" t="inlineStr">
        <x:is>
          <x:t xml:space="preserve">R. São Serapião, 342 - Vila Ré</x:t>
        </x:is>
      </x:c>
      <x:c r="I147" s="4" t="n">
        <x:v>4.9</x:v>
      </x:c>
      <x:c r="J147" s="2" t="n">
        <x:v>46</x:v>
      </x:c>
      <x:c r="K147" s="2" t="n">
        <x:f>IF(OR(I147="",J147=""),"",IFERROR(ROUND(I147*LN(J147+1),1),""))</x:f>
        <x:v>18.9</x:v>
      </x:c>
      <x:c r="L147" s="2" t="str">
        <x:f>IF(K147="","Sem dados - qualificar",IF(K147&gt;=15,"A - Alta",IF(K147&gt;=8,"B - Média","C - Baixa")))</x:f>
        <x:v>A - Alta</x:v>
      </x:c>
      <x:c r="M147" s="2" t="inlineStr">
        <x:is>
          <x:t xml:space="preserve">Não contatado</x:t>
        </x:is>
      </x:c>
      <x:c r="N147" s="3" t="inlineStr">
        <x:is>
          <x:t xml:space="preserve"/>
        </x:is>
      </x:c>
      <x:c r="O147" s="3" t="inlineStr">
        <x:is>
          <x:t xml:space="preserve"/>
        </x:is>
      </x:c>
      <x:c r="P147" s="26" t="str"/>
      <x:c r="Q147" s="3" t="inlineStr">
        <x:is>
          <x:t xml:space="preserve"/>
        </x:is>
      </x:c>
      <x:c r="R147" s="5" t="n"/>
      <x:c r="S147" s="3" t="inlineStr">
        <x:is>
          <x:t xml:space="preserve"/>
        </x:is>
      </x:c>
      <x:c r="T147" s="3" t="inlineStr">
        <x:is>
          <x:t xml:space="preserve"/>
        </x:is>
      </x:c>
      <x:c r="U147" s="26" t="str">
        <x:v>Não localizado em fonte pública confiável até 24/07/2026</x:v>
      </x:c>
    </x:row>
    <x:row r="148">
      <x:c r="A148" s="2" t="n">
        <x:v>147</x:v>
      </x:c>
      <x:c r="B148" s="3" t="inlineStr">
        <x:is>
          <x:t xml:space="preserve">Vedabrás Vedações Industriais</x:t>
        </x:is>
      </x:c>
      <x:c r="C148" s="3" t="inlineStr">
        <x:is>
          <x:t xml:space="preserve">Fabricante/Vedações</x:t>
        </x:is>
      </x:c>
      <x:c r="D148" s="3" t="inlineStr">
        <x:is>
          <x:t xml:space="preserve">São Paulo</x:t>
        </x:is>
      </x:c>
      <x:c r="E148" s="2" t="inlineStr">
        <x:is>
          <x:t xml:space="preserve">SP</x:t>
        </x:is>
      </x:c>
      <x:c r="F148" s="2" t="inlineStr">
        <x:is>
          <x:t xml:space="preserve">Sudeste</x:t>
        </x:is>
      </x:c>
      <x:c r="G148" s="3" t="inlineStr">
        <x:is>
          <x:t xml:space="preserve">+55 11 3352-1299</x:t>
        </x:is>
      </x:c>
      <x:c r="H148" s="3" t="inlineStr">
        <x:is>
          <x:t xml:space="preserve">R. Gen. Osório, 590 - Santa Ifigênia</x:t>
        </x:is>
      </x:c>
      <x:c r="I148" s="4" t="n">
        <x:v>3.9</x:v>
      </x:c>
      <x:c r="J148" s="2" t="n">
        <x:v>111</x:v>
      </x:c>
      <x:c r="K148" s="2" t="n">
        <x:f>IF(OR(I148="",J148=""),"",IFERROR(ROUND(I148*LN(J148+1),1),""))</x:f>
        <x:v>18.4</x:v>
      </x:c>
      <x:c r="L148" s="2" t="str">
        <x:f>IF(K148="","Sem dados - qualificar",IF(K148&gt;=15,"A - Alta",IF(K148&gt;=8,"B - Média","C - Baixa")))</x:f>
        <x:v>A - Alta</x:v>
      </x:c>
      <x:c r="M148" s="2" t="inlineStr">
        <x:is>
          <x:t xml:space="preserve">Não contatado</x:t>
        </x:is>
      </x:c>
      <x:c r="N148" s="3" t="inlineStr">
        <x:is>
          <x:t xml:space="preserve"/>
        </x:is>
      </x:c>
      <x:c r="O148" s="3" t="inlineStr">
        <x:is>
          <x:t xml:space="preserve"/>
        </x:is>
      </x:c>
      <x:c r="P148" s="26" t="str">
        <x:v>atendimento@vedabras.com.br</x:v>
      </x:c>
      <x:c r="Q148" s="3" t="inlineStr">
        <x:is>
          <x:t xml:space="preserve"/>
        </x:is>
      </x:c>
      <x:c r="R148" s="5" t="n"/>
      <x:c r="S148" s="3" t="inlineStr">
        <x:is>
          <x:t xml:space="preserve"/>
        </x:is>
      </x:c>
      <x:c r="T148" s="3" t="inlineStr">
        <x:is>
          <x:t xml:space="preserve"/>
        </x:is>
      </x:c>
      <x:c r="U148" s="26" t="str">
        <x:v>https://www.vedabras.com.br/</x:v>
      </x:c>
    </x:row>
    <x:row r="149">
      <x:c r="A149" s="2" t="n">
        <x:v>148</x:v>
      </x:c>
      <x:c r="B149" s="3" t="inlineStr">
        <x:is>
          <x:t xml:space="preserve">Vedalara Vedações Industriais</x:t>
        </x:is>
      </x:c>
      <x:c r="C149" s="3" t="inlineStr">
        <x:is>
          <x:t xml:space="preserve">Vedações</x:t>
        </x:is>
      </x:c>
      <x:c r="D149" s="3" t="inlineStr">
        <x:is>
          <x:t xml:space="preserve">São Paulo</x:t>
        </x:is>
      </x:c>
      <x:c r="E149" s="2" t="inlineStr">
        <x:is>
          <x:t xml:space="preserve">SP</x:t>
        </x:is>
      </x:c>
      <x:c r="F149" s="2" t="inlineStr">
        <x:is>
          <x:t xml:space="preserve">Sudeste</x:t>
        </x:is>
      </x:c>
      <x:c r="G149" s="3" t="inlineStr">
        <x:is>
          <x:t xml:space="preserve">+55 11 2156-0500</x:t>
        </x:is>
      </x:c>
      <x:c r="H149" s="3" t="inlineStr">
        <x:is>
          <x:t xml:space="preserve">Av. Marechal Tito, 4171 - Jd. Miragaia</x:t>
        </x:is>
      </x:c>
      <x:c r="I149" s="4" t="n">
        <x:v>4.9</x:v>
      </x:c>
      <x:c r="J149" s="2" t="n">
        <x:v>8</x:v>
      </x:c>
      <x:c r="K149" s="2" t="n">
        <x:f>IF(OR(I149="",J149=""),"",IFERROR(ROUND(I149*LN(J149+1),1),""))</x:f>
        <x:v>10.8</x:v>
      </x:c>
      <x:c r="L149" s="2" t="str">
        <x:f>IF(K149="","Sem dados - qualificar",IF(K149&gt;=15,"A - Alta",IF(K149&gt;=8,"B - Média","C - Baixa")))</x:f>
        <x:v>B - Média</x:v>
      </x:c>
      <x:c r="M149" s="2" t="inlineStr">
        <x:is>
          <x:t xml:space="preserve">Não contatado</x:t>
        </x:is>
      </x:c>
      <x:c r="N149" s="3" t="inlineStr">
        <x:is>
          <x:t xml:space="preserve"/>
        </x:is>
      </x:c>
      <x:c r="O149" s="3" t="inlineStr">
        <x:is>
          <x:t xml:space="preserve"/>
        </x:is>
      </x:c>
      <x:c r="P149" s="26" t="str">
        <x:v>vedalara@vedalara.com.br</x:v>
      </x:c>
      <x:c r="Q149" s="3" t="inlineStr">
        <x:is>
          <x:t xml:space="preserve"/>
        </x:is>
      </x:c>
      <x:c r="R149" s="5" t="n"/>
      <x:c r="S149" s="3" t="inlineStr">
        <x:is>
          <x:t xml:space="preserve"/>
        </x:is>
      </x:c>
      <x:c r="T149" s="3" t="inlineStr">
        <x:is>
          <x:t xml:space="preserve"/>
        </x:is>
      </x:c>
      <x:c r="U149" s="26" t="str">
        <x:v>https://www.vedalara.com.br/</x:v>
      </x:c>
    </x:row>
    <x:row r="150">
      <x:c r="A150" s="2" t="n">
        <x:v>149</x:v>
      </x:c>
      <x:c r="B150" s="3" t="inlineStr">
        <x:is>
          <x:t xml:space="preserve">Vedaleste</x:t>
        </x:is>
      </x:c>
      <x:c r="C150" s="3" t="inlineStr">
        <x:is>
          <x:t xml:space="preserve">Vedações</x:t>
        </x:is>
      </x:c>
      <x:c r="D150" s="3" t="inlineStr">
        <x:is>
          <x:t xml:space="preserve">São Paulo</x:t>
        </x:is>
      </x:c>
      <x:c r="E150" s="2" t="inlineStr">
        <x:is>
          <x:t xml:space="preserve">SP</x:t>
        </x:is>
      </x:c>
      <x:c r="F150" s="2" t="inlineStr">
        <x:is>
          <x:t xml:space="preserve">Sudeste</x:t>
        </x:is>
      </x:c>
      <x:c r="G150" s="3" t="inlineStr">
        <x:is>
          <x:t xml:space="preserve">+55 11 2478-2185</x:t>
        </x:is>
      </x:c>
      <x:c r="H150" s="3" t="inlineStr">
        <x:is>
          <x:t xml:space="preserve">Av. Melchert, 1215 - Vila Matilde</x:t>
        </x:is>
      </x:c>
      <x:c r="I150" s="4" t="n">
        <x:v>4.4</x:v>
      </x:c>
      <x:c r="J150" s="2" t="n">
        <x:v>5</x:v>
      </x:c>
      <x:c r="K150" s="2" t="n">
        <x:f>IF(OR(I150="",J150=""),"",IFERROR(ROUND(I150*LN(J150+1),1),""))</x:f>
        <x:v>7.9</x:v>
      </x:c>
      <x:c r="L150" s="2" t="str">
        <x:f>IF(K150="","Sem dados - qualificar",IF(K150&gt;=15,"A - Alta",IF(K150&gt;=8,"B - Média","C - Baixa")))</x:f>
        <x:v>C - Baixa</x:v>
      </x:c>
      <x:c r="M150" s="2" t="inlineStr">
        <x:is>
          <x:t xml:space="preserve">Não contatado</x:t>
        </x:is>
      </x:c>
      <x:c r="N150" s="3" t="inlineStr">
        <x:is>
          <x:t xml:space="preserve"/>
        </x:is>
      </x:c>
      <x:c r="O150" s="3" t="inlineStr">
        <x:is>
          <x:t xml:space="preserve"/>
        </x:is>
      </x:c>
      <x:c r="P150" s="26" t="str">
        <x:v>vendas@vedaleste.com.br</x:v>
      </x:c>
      <x:c r="Q150" s="3" t="inlineStr">
        <x:is>
          <x:t xml:space="preserve"/>
        </x:is>
      </x:c>
      <x:c r="R150" s="5" t="n"/>
      <x:c r="S150" s="3" t="inlineStr">
        <x:is>
          <x:t xml:space="preserve"/>
        </x:is>
      </x:c>
      <x:c r="T150" s="3" t="inlineStr">
        <x:is>
          <x:t xml:space="preserve"/>
        </x:is>
      </x:c>
      <x:c r="U150" s="26" t="str">
        <x:v>https://vedaleste.com.br/contato.php</x:v>
      </x:c>
    </x:row>
    <x:row r="151">
      <x:c r="A151" s="2" t="n">
        <x:v>150</x:v>
      </x:c>
      <x:c r="B151" s="3" t="inlineStr">
        <x:is>
          <x:t xml:space="preserve">Vedatec Vedações</x:t>
        </x:is>
      </x:c>
      <x:c r="C151" s="3" t="inlineStr">
        <x:is>
          <x:t xml:space="preserve">Vedações</x:t>
        </x:is>
      </x:c>
      <x:c r="D151" s="3" t="inlineStr">
        <x:is>
          <x:t xml:space="preserve">São Paulo</x:t>
        </x:is>
      </x:c>
      <x:c r="E151" s="2" t="inlineStr">
        <x:is>
          <x:t xml:space="preserve">SP</x:t>
        </x:is>
      </x:c>
      <x:c r="F151" s="2" t="inlineStr">
        <x:is>
          <x:t xml:space="preserve">Sudeste</x:t>
        </x:is>
      </x:c>
      <x:c r="G151" s="3" t="inlineStr">
        <x:is>
          <x:t xml:space="preserve">+55 11 3363-3666</x:t>
        </x:is>
      </x:c>
      <x:c r="H151" s="3" t="inlineStr">
        <x:is>
          <x:t xml:space="preserve">R. Barão de Campinas, 534 - Campos Elíseos</x:t>
        </x:is>
      </x:c>
      <x:c r="I151" s="4" t="n">
        <x:v>4.7</x:v>
      </x:c>
      <x:c r="J151" s="2" t="n">
        <x:v>182</x:v>
      </x:c>
      <x:c r="K151" s="2" t="n">
        <x:f>IF(OR(I151="",J151=""),"",IFERROR(ROUND(I151*LN(J151+1),1),""))</x:f>
        <x:v>24.5</x:v>
      </x:c>
      <x:c r="L151" s="2" t="str">
        <x:f>IF(K151="","Sem dados - qualificar",IF(K151&gt;=15,"A - Alta",IF(K151&gt;=8,"B - Média","C - Baixa")))</x:f>
        <x:v>A - Alta</x:v>
      </x:c>
      <x:c r="M151" s="2" t="inlineStr">
        <x:is>
          <x:t xml:space="preserve">Não contatado</x:t>
        </x:is>
      </x:c>
      <x:c r="N151" s="3" t="inlineStr">
        <x:is>
          <x:t xml:space="preserve"/>
        </x:is>
      </x:c>
      <x:c r="O151" s="3" t="inlineStr">
        <x:is>
          <x:t xml:space="preserve"/>
        </x:is>
      </x:c>
      <x:c r="P151" s="26" t="str">
        <x:v>vedatec@vedatec.com.br</x:v>
      </x:c>
      <x:c r="Q151" s="3" t="inlineStr">
        <x:is>
          <x:t xml:space="preserve"/>
        </x:is>
      </x:c>
      <x:c r="R151" s="5" t="n"/>
      <x:c r="S151" s="3" t="inlineStr">
        <x:is>
          <x:t xml:space="preserve"/>
        </x:is>
      </x:c>
      <x:c r="T151" s="3" t="inlineStr">
        <x:is>
          <x:t xml:space="preserve"/>
        </x:is>
      </x:c>
      <x:c r="U151" s="26" t="str">
        <x:v>https://vedatec.com.br/</x:v>
      </x:c>
    </x:row>
    <x:row r="152">
      <x:c r="A152" s="2" t="n">
        <x:v>151</x:v>
      </x:c>
      <x:c r="B152" s="3" t="inlineStr">
        <x:is>
          <x:t xml:space="preserve">X3 Rolamentos e Acessórios Industriais</x:t>
        </x:is>
      </x:c>
      <x:c r="C152" s="3" t="inlineStr">
        <x:is>
          <x:t xml:space="preserve">Rolamentos/Vedações</x:t>
        </x:is>
      </x:c>
      <x:c r="D152" s="3" t="inlineStr">
        <x:is>
          <x:t xml:space="preserve">São Paulo</x:t>
        </x:is>
      </x:c>
      <x:c r="E152" s="2" t="inlineStr">
        <x:is>
          <x:t xml:space="preserve">SP</x:t>
        </x:is>
      </x:c>
      <x:c r="F152" s="2" t="inlineStr">
        <x:is>
          <x:t xml:space="preserve">Sudeste</x:t>
        </x:is>
      </x:c>
      <x:c r="G152" s="3" t="inlineStr">
        <x:is>
          <x:t xml:space="preserve">+55 11 98911-3269</x:t>
        </x:is>
      </x:c>
      <x:c r="H152" s="3" t="inlineStr">
        <x:is>
          <x:t xml:space="preserve">R. Faustolo, 125 - Vila Romana</x:t>
        </x:is>
      </x:c>
      <x:c r="I152" s="4" t="n">
        <x:v>5</x:v>
      </x:c>
      <x:c r="J152" s="2" t="n">
        <x:v>15</x:v>
      </x:c>
      <x:c r="K152" s="2" t="n">
        <x:f>IF(OR(I152="",J152=""),"",IFERROR(ROUND(I152*LN(J152+1),1),""))</x:f>
        <x:v>13.9</x:v>
      </x:c>
      <x:c r="L152" s="2" t="str">
        <x:f>IF(K152="","Sem dados - qualificar",IF(K152&gt;=15,"A - Alta",IF(K152&gt;=8,"B - Média","C - Baixa")))</x:f>
        <x:v>B - Média</x:v>
      </x:c>
      <x:c r="M152" s="2" t="inlineStr">
        <x:is>
          <x:t xml:space="preserve">Não contatado</x:t>
        </x:is>
      </x:c>
      <x:c r="N152" s="3" t="inlineStr">
        <x:is>
          <x:t xml:space="preserve"/>
        </x:is>
      </x:c>
      <x:c r="O152" s="3" t="inlineStr">
        <x:is>
          <x:t xml:space="preserve"/>
        </x:is>
      </x:c>
      <x:c r="P152" s="26" t="str">
        <x:v>contato@x3rolamentos.com.br</x:v>
      </x:c>
      <x:c r="Q152" s="3" t="inlineStr">
        <x:is>
          <x:t xml:space="preserve"/>
        </x:is>
      </x:c>
      <x:c r="R152" s="5" t="n"/>
      <x:c r="S152" s="3" t="inlineStr">
        <x:is>
          <x:t xml:space="preserve"/>
        </x:is>
      </x:c>
      <x:c r="T152" s="3" t="inlineStr">
        <x:is>
          <x:t xml:space="preserve"/>
        </x:is>
      </x:c>
      <x:c r="U152" s="26" t="str">
        <x:v>https://www.x3rolamentos.com.br/orcamento-x3-rolamentos-distribuidora-e-importadora/</x:v>
      </x:c>
    </x:row>
    <x:row r="153">
      <x:c r="A153" s="2" t="n">
        <x:v>152</x:v>
      </x:c>
      <x:c r="B153" s="3" t="inlineStr">
        <x:is>
          <x:t xml:space="preserve">A Casa das Vedações</x:t>
        </x:is>
      </x:c>
      <x:c r="C153" s="3" t="inlineStr">
        <x:is>
          <x:t xml:space="preserve">Vedações</x:t>
        </x:is>
      </x:c>
      <x:c r="D153" s="3" t="inlineStr">
        <x:is>
          <x:t xml:space="preserve">Cascavel</x:t>
        </x:is>
      </x:c>
      <x:c r="E153" s="2" t="inlineStr">
        <x:is>
          <x:t xml:space="preserve">PR</x:t>
        </x:is>
      </x:c>
      <x:c r="F153" s="2" t="inlineStr">
        <x:is>
          <x:t xml:space="preserve">Sul</x:t>
        </x:is>
      </x:c>
      <x:c r="G153" s="3" t="inlineStr">
        <x:is>
          <x:t xml:space="preserve">+55 45 3306-7307</x:t>
        </x:is>
      </x:c>
      <x:c r="H153" s="3" t="inlineStr">
        <x:is>
          <x:t xml:space="preserve">R. Martin Afonso de Souza, 777 - Pacaembu</x:t>
        </x:is>
      </x:c>
      <x:c r="I153" s="4" t="n">
        <x:v>4.9</x:v>
      </x:c>
      <x:c r="J153" s="2" t="n">
        <x:v>16</x:v>
      </x:c>
      <x:c r="K153" s="2" t="n">
        <x:f>IF(OR(I153="",J153=""),"",IFERROR(ROUND(I153*LN(J153+1),1),""))</x:f>
        <x:v>13.9</x:v>
      </x:c>
      <x:c r="L153" s="2" t="str">
        <x:f>IF(K153="","Sem dados - qualificar",IF(K153&gt;=15,"A - Alta",IF(K153&gt;=8,"B - Média","C - Baixa")))</x:f>
        <x:v>B - Média</x:v>
      </x:c>
      <x:c r="M153" s="2" t="inlineStr">
        <x:is>
          <x:t xml:space="preserve">Não contatado</x:t>
        </x:is>
      </x:c>
      <x:c r="N153" s="3" t="inlineStr">
        <x:is>
          <x:t xml:space="preserve"/>
        </x:is>
      </x:c>
      <x:c r="O153" s="3" t="inlineStr">
        <x:is>
          <x:t xml:space="preserve"/>
        </x:is>
      </x:c>
      <x:c r="P153" s="26" t="str"/>
      <x:c r="Q153" s="3" t="inlineStr">
        <x:is>
          <x:t xml:space="preserve"/>
        </x:is>
      </x:c>
      <x:c r="R153" s="5" t="n"/>
      <x:c r="S153" s="3" t="inlineStr">
        <x:is>
          <x:t xml:space="preserve"/>
        </x:is>
      </x:c>
      <x:c r="T153" s="3" t="inlineStr">
        <x:is>
          <x:t xml:space="preserve"/>
        </x:is>
      </x:c>
      <x:c r="U153" s="26" t="str">
        <x:v>Não localizado em fonte pública confiável até 24/07/2026</x:v>
      </x:c>
    </x:row>
    <x:row r="154">
      <x:c r="A154" s="2" t="n">
        <x:v>153</x:v>
      </x:c>
      <x:c r="B154" s="3" t="inlineStr">
        <x:is>
          <x:t xml:space="preserve">Anéis Ved-tech Vedações Industriais</x:t>
        </x:is>
      </x:c>
      <x:c r="C154" s="3" t="inlineStr">
        <x:is>
          <x:t xml:space="preserve">Vedações</x:t>
        </x:is>
      </x:c>
      <x:c r="D154" s="3" t="inlineStr">
        <x:is>
          <x:t xml:space="preserve">Curitiba</x:t>
        </x:is>
      </x:c>
      <x:c r="E154" s="2" t="inlineStr">
        <x:is>
          <x:t xml:space="preserve">PR</x:t>
        </x:is>
      </x:c>
      <x:c r="F154" s="2" t="inlineStr">
        <x:is>
          <x:t xml:space="preserve">Sul</x:t>
        </x:is>
      </x:c>
      <x:c r="G154" s="3" t="inlineStr">
        <x:is>
          <x:t xml:space="preserve">+55 41 99723-7252</x:t>
        </x:is>
      </x:c>
      <x:c r="H154" s="3" t="inlineStr">
        <x:is>
          <x:t xml:space="preserve">Av. Winston Churchill, 539 - Capão Raso</x:t>
        </x:is>
      </x:c>
      <x:c r="I154" s="4" t="n">
        <x:v>5</x:v>
      </x:c>
      <x:c r="J154" s="2" t="n">
        <x:v>18</x:v>
      </x:c>
      <x:c r="K154" s="2" t="n">
        <x:f>IF(OR(I154="",J154=""),"",IFERROR(ROUND(I154*LN(J154+1),1),""))</x:f>
        <x:v>14.7</x:v>
      </x:c>
      <x:c r="L154" s="2" t="str">
        <x:f>IF(K154="","Sem dados - qualificar",IF(K154&gt;=15,"A - Alta",IF(K154&gt;=8,"B - Média","C - Baixa")))</x:f>
        <x:v>B - Média</x:v>
      </x:c>
      <x:c r="M154" s="2" t="inlineStr">
        <x:is>
          <x:t xml:space="preserve">Não contatado</x:t>
        </x:is>
      </x:c>
      <x:c r="N154" s="3" t="inlineStr">
        <x:is>
          <x:t xml:space="preserve"/>
        </x:is>
      </x:c>
      <x:c r="O154" s="3" t="inlineStr">
        <x:is>
          <x:t xml:space="preserve"/>
        </x:is>
      </x:c>
      <x:c r="P154" s="26" t="str">
        <x:v>contato@aneisved-tech.com.br</x:v>
      </x:c>
      <x:c r="Q154" s="3" t="inlineStr">
        <x:is>
          <x:t xml:space="preserve"/>
        </x:is>
      </x:c>
      <x:c r="R154" s="5" t="n"/>
      <x:c r="S154" s="3" t="inlineStr">
        <x:is>
          <x:t xml:space="preserve"/>
        </x:is>
      </x:c>
      <x:c r="T154" s="3" t="inlineStr">
        <x:is>
          <x:t xml:space="preserve"/>
        </x:is>
      </x:c>
      <x:c r="U154" s="26" t="str">
        <x:v>https://aneisved-tech.com.br/contato/</x:v>
      </x:c>
    </x:row>
    <x:row r="155">
      <x:c r="A155" s="2" t="n">
        <x:v>154</x:v>
      </x:c>
      <x:c r="B155" s="3" t="inlineStr">
        <x:is>
          <x:t xml:space="preserve">Comlider Indústria de Vedações</x:t>
        </x:is>
      </x:c>
      <x:c r="C155" s="3" t="inlineStr">
        <x:is>
          <x:t xml:space="preserve">Fabricante/Vedações</x:t>
        </x:is>
      </x:c>
      <x:c r="D155" s="3" t="inlineStr">
        <x:is>
          <x:t xml:space="preserve">Curitiba</x:t>
        </x:is>
      </x:c>
      <x:c r="E155" s="2" t="inlineStr">
        <x:is>
          <x:t xml:space="preserve">PR</x:t>
        </x:is>
      </x:c>
      <x:c r="F155" s="2" t="inlineStr">
        <x:is>
          <x:t xml:space="preserve">Sul</x:t>
        </x:is>
      </x:c>
      <x:c r="G155" s="3" t="inlineStr">
        <x:is>
          <x:t xml:space="preserve">+55 41 3567-7001</x:t>
        </x:is>
      </x:c>
      <x:c r="H155" s="3" t="inlineStr">
        <x:is>
          <x:t xml:space="preserve">R. Celestino M. de Siqueira, 271B - CIC</x:t>
        </x:is>
      </x:c>
      <x:c r="I155" s="4" t="n">
        <x:v>4.4</x:v>
      </x:c>
      <x:c r="J155" s="2" t="n">
        <x:v>13</x:v>
      </x:c>
      <x:c r="K155" s="2" t="n">
        <x:f>IF(OR(I155="",J155=""),"",IFERROR(ROUND(I155*LN(J155+1),1),""))</x:f>
        <x:v>11.6</x:v>
      </x:c>
      <x:c r="L155" s="2" t="str">
        <x:f>IF(K155="","Sem dados - qualificar",IF(K155&gt;=15,"A - Alta",IF(K155&gt;=8,"B - Média","C - Baixa")))</x:f>
        <x:v>B - Média</x:v>
      </x:c>
      <x:c r="M155" s="2" t="inlineStr">
        <x:is>
          <x:t xml:space="preserve">Não contatado</x:t>
        </x:is>
      </x:c>
      <x:c r="N155" s="3" t="inlineStr">
        <x:is>
          <x:t xml:space="preserve"/>
        </x:is>
      </x:c>
      <x:c r="O155" s="3" t="inlineStr">
        <x:is>
          <x:t xml:space="preserve"/>
        </x:is>
      </x:c>
      <x:c r="P155" s="26" t="str">
        <x:v>vendas@comlider.com.br</x:v>
      </x:c>
      <x:c r="Q155" s="3" t="inlineStr">
        <x:is>
          <x:t xml:space="preserve">(41) 99831-4446</x:t>
        </x:is>
      </x:c>
      <x:c r="R155" s="5" t="n"/>
      <x:c r="S155" s="3" t="inlineStr">
        <x:is>
          <x:t xml:space="preserve"/>
        </x:is>
      </x:c>
      <x:c r="T155" s="3" t="inlineStr">
        <x:is>
          <x:t xml:space="preserve"/>
        </x:is>
      </x:c>
      <x:c r="U155" s="26" t="str">
        <x:v>https://comlider.com.br/</x:v>
      </x:c>
    </x:row>
    <x:row r="156">
      <x:c r="A156" s="2" t="n">
        <x:v>155</x:v>
      </x:c>
      <x:c r="B156" s="3" t="inlineStr">
        <x:is>
          <x:t xml:space="preserve">Companhia da Vedação</x:t>
        </x:is>
      </x:c>
      <x:c r="C156" s="3" t="inlineStr">
        <x:is>
          <x:t xml:space="preserve">Fabricante/Vedações</x:t>
        </x:is>
      </x:c>
      <x:c r="D156" s="3" t="inlineStr">
        <x:is>
          <x:t xml:space="preserve">Curitiba</x:t>
        </x:is>
      </x:c>
      <x:c r="E156" s="2" t="inlineStr">
        <x:is>
          <x:t xml:space="preserve">PR</x:t>
        </x:is>
      </x:c>
      <x:c r="F156" s="2" t="inlineStr">
        <x:is>
          <x:t xml:space="preserve">Sul</x:t>
        </x:is>
      </x:c>
      <x:c r="G156" s="3" t="inlineStr">
        <x:is>
          <x:t xml:space="preserve">+55 41 3045-2542</x:t>
        </x:is>
      </x:c>
      <x:c r="H156" s="3" t="inlineStr">
        <x:is>
          <x:t xml:space="preserve">R. das Carmelitas, 3451 - Boqueirão</x:t>
        </x:is>
      </x:c>
      <x:c r="I156" s="4" t="n">
        <x:v>4.9</x:v>
      </x:c>
      <x:c r="J156" s="2" t="n">
        <x:v>120</x:v>
      </x:c>
      <x:c r="K156" s="2" t="n">
        <x:f>IF(OR(I156="",J156=""),"",IFERROR(ROUND(I156*LN(J156+1),1),""))</x:f>
        <x:v>23.5</x:v>
      </x:c>
      <x:c r="L156" s="2" t="str">
        <x:f>IF(K156="","Sem dados - qualificar",IF(K156&gt;=15,"A - Alta",IF(K156&gt;=8,"B - Média","C - Baixa")))</x:f>
        <x:v>A - Alta</x:v>
      </x:c>
      <x:c r="M156" s="2" t="inlineStr">
        <x:is>
          <x:t xml:space="preserve">Não contatado</x:t>
        </x:is>
      </x:c>
      <x:c r="N156" s="3" t="inlineStr">
        <x:is>
          <x:t xml:space="preserve"/>
        </x:is>
      </x:c>
      <x:c r="O156" s="3" t="inlineStr">
        <x:is>
          <x:t xml:space="preserve"/>
        </x:is>
      </x:c>
      <x:c r="P156" s="26" t="str"/>
      <x:c r="Q156" s="3" t="inlineStr">
        <x:is>
          <x:t xml:space="preserve"/>
        </x:is>
      </x:c>
      <x:c r="R156" s="5" t="n"/>
      <x:c r="S156" s="3" t="inlineStr">
        <x:is>
          <x:t xml:space="preserve"/>
        </x:is>
      </x:c>
      <x:c r="T156" s="3" t="inlineStr">
        <x:is>
          <x:t xml:space="preserve"/>
        </x:is>
      </x:c>
      <x:c r="U156" s="26" t="str">
        <x:v>Não localizado em fonte pública confiável até 24/07/2026</x:v>
      </x:c>
    </x:row>
    <x:row r="157">
      <x:c r="A157" s="2" t="n">
        <x:v>156</x:v>
      </x:c>
      <x:c r="B157" s="3" t="inlineStr">
        <x:is>
          <x:t xml:space="preserve">Parseals Vedações e Gaxetas Usinadas</x:t>
        </x:is>
      </x:c>
      <x:c r="C157" s="3" t="inlineStr">
        <x:is>
          <x:t xml:space="preserve">Fabricante/Vedações</x:t>
        </x:is>
      </x:c>
      <x:c r="D157" s="3" t="inlineStr">
        <x:is>
          <x:t xml:space="preserve">Curitiba</x:t>
        </x:is>
      </x:c>
      <x:c r="E157" s="2" t="inlineStr">
        <x:is>
          <x:t xml:space="preserve">PR</x:t>
        </x:is>
      </x:c>
      <x:c r="F157" s="2" t="inlineStr">
        <x:is>
          <x:t xml:space="preserve">Sul</x:t>
        </x:is>
      </x:c>
      <x:c r="G157" s="3" t="inlineStr">
        <x:is>
          <x:t xml:space="preserve">+55 41 3598-9400</x:t>
        </x:is>
      </x:c>
      <x:c r="H157" s="3" t="inlineStr">
        <x:is>
          <x:t xml:space="preserve">R. Brazílio de Araújo, 960 - Neoville</x:t>
        </x:is>
      </x:c>
      <x:c r="I157" s="4" t="n">
        <x:v>4.6</x:v>
      </x:c>
      <x:c r="J157" s="2" t="n">
        <x:v>20</x:v>
      </x:c>
      <x:c r="K157" s="2" t="n">
        <x:f>IF(OR(I157="",J157=""),"",IFERROR(ROUND(I157*LN(J157+1),1),""))</x:f>
        <x:v>14</x:v>
      </x:c>
      <x:c r="L157" s="2" t="str">
        <x:f>IF(K157="","Sem dados - qualificar",IF(K157&gt;=15,"A - Alta",IF(K157&gt;=8,"B - Média","C - Baixa")))</x:f>
        <x:v>B - Média</x:v>
      </x:c>
      <x:c r="M157" s="2" t="inlineStr">
        <x:is>
          <x:t xml:space="preserve">Não contatado</x:t>
        </x:is>
      </x:c>
      <x:c r="N157" s="3" t="inlineStr">
        <x:is>
          <x:t xml:space="preserve"/>
        </x:is>
      </x:c>
      <x:c r="O157" s="3" t="inlineStr">
        <x:is>
          <x:t xml:space="preserve"/>
        </x:is>
      </x:c>
      <x:c r="P157" s="26" t="str">
        <x:v>parseals@parseals.com.br</x:v>
      </x:c>
      <x:c r="Q157" s="3" t="inlineStr">
        <x:is>
          <x:t xml:space="preserve"/>
        </x:is>
      </x:c>
      <x:c r="R157" s="5" t="n"/>
      <x:c r="S157" s="3" t="inlineStr">
        <x:is>
          <x:t xml:space="preserve"/>
        </x:is>
      </x:c>
      <x:c r="T157" s="3" t="inlineStr">
        <x:is>
          <x:t xml:space="preserve"/>
        </x:is>
      </x:c>
      <x:c r="U157" s="26" t="str">
        <x:v>https://www.skf.com/binaries/pub330/Images/Distribuidores-Autorizados-IM-SKF-01-22_tcm_330-565060.pdf</x:v>
      </x:c>
    </x:row>
    <x:row r="158">
      <x:c r="A158" s="2" t="n">
        <x:v>157</x:v>
      </x:c>
      <x:c r="B158" s="3" t="inlineStr">
        <x:is>
          <x:t xml:space="preserve">RCS Rings Seals</x:t>
        </x:is>
      </x:c>
      <x:c r="C158" s="3" t="inlineStr">
        <x:is>
          <x:t xml:space="preserve">Hidráulica/Vedações</x:t>
        </x:is>
      </x:c>
      <x:c r="D158" s="3" t="inlineStr">
        <x:is>
          <x:t xml:space="preserve">Curitiba</x:t>
        </x:is>
      </x:c>
      <x:c r="E158" s="2" t="inlineStr">
        <x:is>
          <x:t xml:space="preserve">PR</x:t>
        </x:is>
      </x:c>
      <x:c r="F158" s="2" t="inlineStr">
        <x:is>
          <x:t xml:space="preserve">Sul</x:t>
        </x:is>
      </x:c>
      <x:c r="G158" s="3" t="inlineStr">
        <x:is>
          <x:t xml:space="preserve">+55 41 3245-8338</x:t>
        </x:is>
      </x:c>
      <x:c r="H158" s="3" t="inlineStr">
        <x:is>
          <x:t xml:space="preserve">R. João Bettega, 2052 - Portão</x:t>
        </x:is>
      </x:c>
      <x:c r="I158" s="4" t="n">
        <x:v>4.4</x:v>
      </x:c>
      <x:c r="J158" s="2" t="n">
        <x:v>297</x:v>
      </x:c>
      <x:c r="K158" s="2" t="n">
        <x:f>IF(OR(I158="",J158=""),"",IFERROR(ROUND(I158*LN(J158+1),1),""))</x:f>
        <x:v>25.1</x:v>
      </x:c>
      <x:c r="L158" s="2" t="str">
        <x:f>IF(K158="","Sem dados - qualificar",IF(K158&gt;=15,"A - Alta",IF(K158&gt;=8,"B - Média","C - Baixa")))</x:f>
        <x:v>A - Alta</x:v>
      </x:c>
      <x:c r="M158" s="2" t="inlineStr">
        <x:is>
          <x:t xml:space="preserve">Não contatado</x:t>
        </x:is>
      </x:c>
      <x:c r="N158" s="3" t="inlineStr">
        <x:is>
          <x:t xml:space="preserve"/>
        </x:is>
      </x:c>
      <x:c r="O158" s="3" t="inlineStr">
        <x:is>
          <x:t xml:space="preserve"/>
        </x:is>
      </x:c>
      <x:c r="P158" s="26" t="str"/>
      <x:c r="Q158" s="3" t="inlineStr">
        <x:is>
          <x:t xml:space="preserve"/>
        </x:is>
      </x:c>
      <x:c r="R158" s="5" t="n"/>
      <x:c r="S158" s="3" t="inlineStr">
        <x:is>
          <x:t xml:space="preserve"/>
        </x:is>
      </x:c>
      <x:c r="T158" s="3" t="inlineStr">
        <x:is>
          <x:t xml:space="preserve"/>
        </x:is>
      </x:c>
      <x:c r="U158" s="26" t="str">
        <x:v>Não localizado em fonte pública confiável até 24/07/2026</x:v>
      </x:c>
    </x:row>
    <x:row r="159">
      <x:c r="A159" s="2" t="n">
        <x:v>158</x:v>
      </x:c>
      <x:c r="B159" s="3" t="inlineStr">
        <x:is>
          <x:t xml:space="preserve">Sealing Tech Vedações e Componentes Industriais</x:t>
        </x:is>
      </x:c>
      <x:c r="C159" s="3" t="inlineStr">
        <x:is>
          <x:t xml:space="preserve">Vedações</x:t>
        </x:is>
      </x:c>
      <x:c r="D159" s="3" t="inlineStr">
        <x:is>
          <x:t xml:space="preserve">Curitiba</x:t>
        </x:is>
      </x:c>
      <x:c r="E159" s="2" t="inlineStr">
        <x:is>
          <x:t xml:space="preserve">PR</x:t>
        </x:is>
      </x:c>
      <x:c r="F159" s="2" t="inlineStr">
        <x:is>
          <x:t xml:space="preserve">Sul</x:t>
        </x:is>
      </x:c>
      <x:c r="G159" s="3" t="inlineStr">
        <x:is>
          <x:t xml:space="preserve">+55 41 3010-9898</x:t>
        </x:is>
      </x:c>
      <x:c r="H159" s="3" t="inlineStr">
        <x:is>
          <x:t xml:space="preserve">R. David Tows, 3361 - Sítio Cercado</x:t>
        </x:is>
      </x:c>
      <x:c r="I159" s="4" t="n">
        <x:v>5</x:v>
      </x:c>
      <x:c r="J159" s="2" t="n">
        <x:v>5</x:v>
      </x:c>
      <x:c r="K159" s="2" t="n">
        <x:f>IF(OR(I159="",J159=""),"",IFERROR(ROUND(I159*LN(J159+1),1),""))</x:f>
        <x:v>9</x:v>
      </x:c>
      <x:c r="L159" s="2" t="str">
        <x:f>IF(K159="","Sem dados - qualificar",IF(K159&gt;=15,"A - Alta",IF(K159&gt;=8,"B - Média","C - Baixa")))</x:f>
        <x:v>B - Média</x:v>
      </x:c>
      <x:c r="M159" s="2" t="inlineStr">
        <x:is>
          <x:t xml:space="preserve">Não contatado</x:t>
        </x:is>
      </x:c>
      <x:c r="N159" s="3" t="inlineStr">
        <x:is>
          <x:t xml:space="preserve"/>
        </x:is>
      </x:c>
      <x:c r="O159" s="3" t="inlineStr">
        <x:is>
          <x:t xml:space="preserve"/>
        </x:is>
      </x:c>
      <x:c r="P159" s="26" t="str"/>
      <x:c r="Q159" s="3" t="inlineStr">
        <x:is>
          <x:t xml:space="preserve"/>
        </x:is>
      </x:c>
      <x:c r="R159" s="5" t="n"/>
      <x:c r="S159" s="3" t="inlineStr">
        <x:is>
          <x:t xml:space="preserve"/>
        </x:is>
      </x:c>
      <x:c r="T159" s="3" t="inlineStr">
        <x:is>
          <x:t xml:space="preserve"/>
        </x:is>
      </x:c>
      <x:c r="U159" s="26" t="str">
        <x:v>Não localizado em fonte pública confiável até 24/07/2026</x:v>
      </x:c>
    </x:row>
    <x:row r="160">
      <x:c r="A160" s="2" t="n">
        <x:v>159</x:v>
      </x:c>
      <x:c r="B160" s="3" t="inlineStr">
        <x:is>
          <x:t xml:space="preserve">Vedaseal Vedações Industriais</x:t>
        </x:is>
      </x:c>
      <x:c r="C160" s="3" t="inlineStr">
        <x:is>
          <x:t xml:space="preserve">Fabricante/Vedações</x:t>
        </x:is>
      </x:c>
      <x:c r="D160" s="3" t="inlineStr">
        <x:is>
          <x:t xml:space="preserve">Curitiba</x:t>
        </x:is>
      </x:c>
      <x:c r="E160" s="2" t="inlineStr">
        <x:is>
          <x:t xml:space="preserve">PR</x:t>
        </x:is>
      </x:c>
      <x:c r="F160" s="2" t="inlineStr">
        <x:is>
          <x:t xml:space="preserve">Sul</x:t>
        </x:is>
      </x:c>
      <x:c r="G160" s="3" t="inlineStr">
        <x:is>
          <x:t xml:space="preserve">+55 41 98853-3783</x:t>
        </x:is>
      </x:c>
      <x:c r="H160" s="3" t="inlineStr">
        <x:is>
          <x:t xml:space="preserve">R. Roberto Koch, 880 - Lindoia</x:t>
        </x:is>
      </x:c>
      <x:c r="I160" s="4" t="n">
        <x:v>5</x:v>
      </x:c>
      <x:c r="J160" s="2" t="n">
        <x:v>1</x:v>
      </x:c>
      <x:c r="K160" s="2" t="n">
        <x:f>IF(OR(I160="",J160=""),"",IFERROR(ROUND(I160*LN(J160+1),1),""))</x:f>
        <x:v>3.5</x:v>
      </x:c>
      <x:c r="L160" s="2" t="str">
        <x:f>IF(K160="","Sem dados - qualificar",IF(K160&gt;=15,"A - Alta",IF(K160&gt;=8,"B - Média","C - Baixa")))</x:f>
        <x:v>C - Baixa</x:v>
      </x:c>
      <x:c r="M160" s="2" t="inlineStr">
        <x:is>
          <x:t xml:space="preserve">Não contatado</x:t>
        </x:is>
      </x:c>
      <x:c r="N160" s="3" t="inlineStr">
        <x:is>
          <x:t xml:space="preserve"/>
        </x:is>
      </x:c>
      <x:c r="O160" s="3" t="inlineStr">
        <x:is>
          <x:t xml:space="preserve"/>
        </x:is>
      </x:c>
      <x:c r="P160" s="26" t="str"/>
      <x:c r="Q160" s="3" t="inlineStr">
        <x:is>
          <x:t xml:space="preserve"/>
        </x:is>
      </x:c>
      <x:c r="R160" s="5" t="n"/>
      <x:c r="S160" s="3" t="inlineStr">
        <x:is>
          <x:t xml:space="preserve"/>
        </x:is>
      </x:c>
      <x:c r="T160" s="3" t="inlineStr">
        <x:is>
          <x:t xml:space="preserve"/>
        </x:is>
      </x:c>
      <x:c r="U160" s="26" t="str">
        <x:v>Não localizado em fonte pública confiável até 24/07/2026</x:v>
      </x:c>
    </x:row>
    <x:row r="161">
      <x:c r="A161" s="2" t="n">
        <x:v>160</x:v>
      </x:c>
      <x:c r="B161" s="3" t="inlineStr">
        <x:is>
          <x:t xml:space="preserve">Voga Vedabrás</x:t>
        </x:is>
      </x:c>
      <x:c r="C161" s="3" t="inlineStr">
        <x:is>
          <x:t xml:space="preserve">Distribuidor Vedabrás</x:t>
        </x:is>
      </x:c>
      <x:c r="D161" s="3" t="inlineStr">
        <x:is>
          <x:t xml:space="preserve">Curitiba</x:t>
        </x:is>
      </x:c>
      <x:c r="E161" s="2" t="inlineStr">
        <x:is>
          <x:t xml:space="preserve">PR</x:t>
        </x:is>
      </x:c>
      <x:c r="F161" s="2" t="inlineStr">
        <x:is>
          <x:t xml:space="preserve">Sul</x:t>
        </x:is>
      </x:c>
      <x:c r="G161" s="3" t="inlineStr">
        <x:is>
          <x:t xml:space="preserve">+55 41 3246-6500</x:t>
        </x:is>
      </x:c>
      <x:c r="H161" s="3" t="inlineStr">
        <x:is>
          <x:t xml:space="preserve">R. Pedro Gusso, 751 - Novo Mundo</x:t>
        </x:is>
      </x:c>
      <x:c r="I161" s="4" t="n">
        <x:v>4.7</x:v>
      </x:c>
      <x:c r="J161" s="2" t="n">
        <x:v>232</x:v>
      </x:c>
      <x:c r="K161" s="2" t="n">
        <x:f>IF(OR(I161="",J161=""),"",IFERROR(ROUND(I161*LN(J161+1),1),""))</x:f>
        <x:v>25.6</x:v>
      </x:c>
      <x:c r="L161" s="2" t="str">
        <x:f>IF(K161="","Sem dados - qualificar",IF(K161&gt;=15,"A - Alta",IF(K161&gt;=8,"B - Média","C - Baixa")))</x:f>
        <x:v>A - Alta</x:v>
      </x:c>
      <x:c r="M161" s="2" t="inlineStr">
        <x:is>
          <x:t xml:space="preserve">Não contatado</x:t>
        </x:is>
      </x:c>
      <x:c r="N161" s="3" t="inlineStr">
        <x:is>
          <x:t xml:space="preserve"/>
        </x:is>
      </x:c>
      <x:c r="O161" s="3" t="inlineStr">
        <x:is>
          <x:t xml:space="preserve"/>
        </x:is>
      </x:c>
      <x:c r="P161" s="26" t="str">
        <x:v>frederico@vogavedabras.com.br</x:v>
      </x:c>
      <x:c r="Q161" s="3" t="inlineStr">
        <x:is>
          <x:t xml:space="preserve"/>
        </x:is>
      </x:c>
      <x:c r="R161" s="5" t="n"/>
      <x:c r="S161" s="3" t="inlineStr">
        <x:is>
          <x:t xml:space="preserve"/>
        </x:is>
      </x:c>
      <x:c r="T161" s="3" t="inlineStr">
        <x:is>
          <x:t xml:space="preserve"/>
        </x:is>
      </x:c>
      <x:c r="U161" s="26" t="str">
        <x:v>https://www.skf.com/binaries/pub330/Images/Distribuidores-Autorizados-IM-SKF-01-22_tcm_330-565060.pdf</x:v>
      </x:c>
    </x:row>
    <x:row r="162">
      <x:c r="A162" s="2" t="n">
        <x:v>161</x:v>
      </x:c>
      <x:c r="B162" s="3" t="inlineStr">
        <x:is>
          <x:t xml:space="preserve">Casa das Vedações Londrina</x:t>
        </x:is>
      </x:c>
      <x:c r="C162" s="3" t="inlineStr">
        <x:is>
          <x:t xml:space="preserve">Fabricante/Vedações</x:t>
        </x:is>
      </x:c>
      <x:c r="D162" s="3" t="inlineStr">
        <x:is>
          <x:t xml:space="preserve">Londrina</x:t>
        </x:is>
      </x:c>
      <x:c r="E162" s="2" t="inlineStr">
        <x:is>
          <x:t xml:space="preserve">PR</x:t>
        </x:is>
      </x:c>
      <x:c r="F162" s="2" t="inlineStr">
        <x:is>
          <x:t xml:space="preserve">Sul</x:t>
        </x:is>
      </x:c>
      <x:c r="G162" s="3" t="inlineStr">
        <x:is>
          <x:t xml:space="preserve">+55 43 3304-3003</x:t>
        </x:is>
      </x:c>
      <x:c r="H162" s="3" t="inlineStr">
        <x:is>
          <x:t xml:space="preserve">R. Guaporé, 899 - Jd. Palmares</x:t>
        </x:is>
      </x:c>
      <x:c r="I162" s="4" t="n">
        <x:v>5</x:v>
      </x:c>
      <x:c r="J162" s="2" t="n">
        <x:v>5</x:v>
      </x:c>
      <x:c r="K162" s="2" t="n">
        <x:f>IF(OR(I162="",J162=""),"",IFERROR(ROUND(I162*LN(J162+1),1),""))</x:f>
        <x:v>9</x:v>
      </x:c>
      <x:c r="L162" s="2" t="str">
        <x:f>IF(K162="","Sem dados - qualificar",IF(K162&gt;=15,"A - Alta",IF(K162&gt;=8,"B - Média","C - Baixa")))</x:f>
        <x:v>B - Média</x:v>
      </x:c>
      <x:c r="M162" s="2" t="inlineStr">
        <x:is>
          <x:t xml:space="preserve">Não contatado</x:t>
        </x:is>
      </x:c>
      <x:c r="N162" s="3" t="inlineStr">
        <x:is>
          <x:t xml:space="preserve"/>
        </x:is>
      </x:c>
      <x:c r="O162" s="3" t="inlineStr">
        <x:is>
          <x:t xml:space="preserve"/>
        </x:is>
      </x:c>
      <x:c r="P162" s="26" t="str"/>
      <x:c r="Q162" s="3" t="inlineStr">
        <x:is>
          <x:t xml:space="preserve"/>
        </x:is>
      </x:c>
      <x:c r="R162" s="5" t="n"/>
      <x:c r="S162" s="3" t="inlineStr">
        <x:is>
          <x:t xml:space="preserve"/>
        </x:is>
      </x:c>
      <x:c r="T162" s="3" t="inlineStr">
        <x:is>
          <x:t xml:space="preserve"/>
        </x:is>
      </x:c>
      <x:c r="U162" s="26" t="str">
        <x:v>Não localizado em fonte pública confiável até 24/07/2026</x:v>
      </x:c>
    </x:row>
    <x:row r="163">
      <x:c r="A163" s="2" t="n">
        <x:v>162</x:v>
      </x:c>
      <x:c r="B163" s="3" t="inlineStr">
        <x:is>
          <x:t xml:space="preserve">Maved Vedações e Equipamentos Industriais</x:t>
        </x:is>
      </x:c>
      <x:c r="C163" s="3" t="inlineStr">
        <x:is>
          <x:t xml:space="preserve">Vedações</x:t>
        </x:is>
      </x:c>
      <x:c r="D163" s="3" t="inlineStr">
        <x:is>
          <x:t xml:space="preserve">Londrina</x:t>
        </x:is>
      </x:c>
      <x:c r="E163" s="2" t="inlineStr">
        <x:is>
          <x:t xml:space="preserve">PR</x:t>
        </x:is>
      </x:c>
      <x:c r="F163" s="2" t="inlineStr">
        <x:is>
          <x:t xml:space="preserve">Sul</x:t>
        </x:is>
      </x:c>
      <x:c r="G163" s="3" t="inlineStr">
        <x:is>
          <x:t xml:space="preserve">+55 43 3037-5557</x:t>
        </x:is>
      </x:c>
      <x:c r="H163" s="3" t="inlineStr">
        <x:is>
          <x:t xml:space="preserve">Av. das Maritacas, 2094 - PI Leves</x:t>
        </x:is>
      </x:c>
      <x:c r="I163" s="4" t="n">
        <x:v>5</x:v>
      </x:c>
      <x:c r="J163" s="2" t="n">
        <x:v>10</x:v>
      </x:c>
      <x:c r="K163" s="2" t="n">
        <x:f>IF(OR(I163="",J163=""),"",IFERROR(ROUND(I163*LN(J163+1),1),""))</x:f>
        <x:v>12</x:v>
      </x:c>
      <x:c r="L163" s="2" t="str">
        <x:f>IF(K163="","Sem dados - qualificar",IF(K163&gt;=15,"A - Alta",IF(K163&gt;=8,"B - Média","C - Baixa")))</x:f>
        <x:v>B - Média</x:v>
      </x:c>
      <x:c r="M163" s="2" t="inlineStr">
        <x:is>
          <x:t xml:space="preserve">Não contatado</x:t>
        </x:is>
      </x:c>
      <x:c r="N163" s="3" t="inlineStr">
        <x:is>
          <x:t xml:space="preserve"/>
        </x:is>
      </x:c>
      <x:c r="O163" s="3" t="inlineStr">
        <x:is>
          <x:t xml:space="preserve"/>
        </x:is>
      </x:c>
      <x:c r="P163" s="26" t="str"/>
      <x:c r="Q163" s="3" t="inlineStr">
        <x:is>
          <x:t xml:space="preserve"/>
        </x:is>
      </x:c>
      <x:c r="R163" s="5" t="n"/>
      <x:c r="S163" s="3" t="inlineStr">
        <x:is>
          <x:t xml:space="preserve"/>
        </x:is>
      </x:c>
      <x:c r="T163" s="3" t="inlineStr">
        <x:is>
          <x:t xml:space="preserve"/>
        </x:is>
      </x:c>
      <x:c r="U163" s="26" t="str">
        <x:v>Não localizado em fonte pública confiável até 24/07/2026</x:v>
      </x:c>
    </x:row>
    <x:row r="164">
      <x:c r="A164" s="2" t="n">
        <x:v>163</x:v>
      </x:c>
      <x:c r="B164" s="3" t="inlineStr">
        <x:is>
          <x:t xml:space="preserve">Emteco Rolamentos</x:t>
        </x:is>
      </x:c>
      <x:c r="C164" s="3" t="inlineStr">
        <x:is>
          <x:t xml:space="preserve">Rolamentos/Vedações</x:t>
        </x:is>
      </x:c>
      <x:c r="D164" s="3" t="inlineStr">
        <x:is>
          <x:t xml:space="preserve">Maringá</x:t>
        </x:is>
      </x:c>
      <x:c r="E164" s="2" t="inlineStr">
        <x:is>
          <x:t xml:space="preserve">PR</x:t>
        </x:is>
      </x:c>
      <x:c r="F164" s="2" t="inlineStr">
        <x:is>
          <x:t xml:space="preserve">Sul</x:t>
        </x:is>
      </x:c>
      <x:c r="G164" s="3" t="inlineStr">
        <x:is>
          <x:t xml:space="preserve">+55 44 3224-6868</x:t>
        </x:is>
      </x:c>
      <x:c r="H164" s="3" t="inlineStr">
        <x:is>
          <x:t xml:space="preserve">Av. Brasil, 5034 - Zona 05</x:t>
        </x:is>
      </x:c>
      <x:c r="I164" s="4" t="n">
        <x:v>4.9</x:v>
      </x:c>
      <x:c r="J164" s="2" t="n">
        <x:v>45</x:v>
      </x:c>
      <x:c r="K164" s="2" t="n">
        <x:f>IF(OR(I164="",J164=""),"",IFERROR(ROUND(I164*LN(J164+1),1),""))</x:f>
        <x:v>18.8</x:v>
      </x:c>
      <x:c r="L164" s="2" t="str">
        <x:f>IF(K164="","Sem dados - qualificar",IF(K164&gt;=15,"A - Alta",IF(K164&gt;=8,"B - Média","C - Baixa")))</x:f>
        <x:v>A - Alta</x:v>
      </x:c>
      <x:c r="M164" s="2" t="inlineStr">
        <x:is>
          <x:t xml:space="preserve">Não contatado</x:t>
        </x:is>
      </x:c>
      <x:c r="N164" s="3" t="inlineStr">
        <x:is>
          <x:t xml:space="preserve"/>
        </x:is>
      </x:c>
      <x:c r="O164" s="3" t="inlineStr">
        <x:is>
          <x:t xml:space="preserve"/>
        </x:is>
      </x:c>
      <x:c r="P164" s="26" t="str"/>
      <x:c r="Q164" s="3" t="inlineStr">
        <x:is>
          <x:t xml:space="preserve"/>
        </x:is>
      </x:c>
      <x:c r="R164" s="5" t="n"/>
      <x:c r="S164" s="3" t="inlineStr">
        <x:is>
          <x:t xml:space="preserve"/>
        </x:is>
      </x:c>
      <x:c r="T164" s="3" t="inlineStr">
        <x:is>
          <x:t xml:space="preserve"/>
        </x:is>
      </x:c>
      <x:c r="U164" s="26" t="str">
        <x:v>Não localizado em fonte pública confiável até 24/07/2026</x:v>
      </x:c>
    </x:row>
    <x:row r="165">
      <x:c r="A165" s="2" t="n">
        <x:v>164</x:v>
      </x:c>
      <x:c r="B165" s="3" t="inlineStr">
        <x:is>
          <x:t xml:space="preserve">Usina Vedações Maringá</x:t>
        </x:is>
      </x:c>
      <x:c r="C165" s="3" t="inlineStr">
        <x:is>
          <x:t xml:space="preserve">Fabricante/Vedações</x:t>
        </x:is>
      </x:c>
      <x:c r="D165" s="3" t="inlineStr">
        <x:is>
          <x:t xml:space="preserve">Maringá</x:t>
        </x:is>
      </x:c>
      <x:c r="E165" s="2" t="inlineStr">
        <x:is>
          <x:t xml:space="preserve">PR</x:t>
        </x:is>
      </x:c>
      <x:c r="F165" s="2" t="inlineStr">
        <x:is>
          <x:t xml:space="preserve">Sul</x:t>
        </x:is>
      </x:c>
      <x:c r="G165" s="3" t="inlineStr">
        <x:is>
          <x:t xml:space="preserve">+55 44 3200-1247</x:t>
        </x:is>
      </x:c>
      <x:c r="H165" s="3" t="inlineStr">
        <x:is>
          <x:t xml:space="preserve">R. Pion. Alfredo J. da Costa, 1589 - Sumaré</x:t>
        </x:is>
      </x:c>
      <x:c r="I165" s="4" t="n">
        <x:v>5</x:v>
      </x:c>
      <x:c r="J165" s="2" t="n">
        <x:v>7</x:v>
      </x:c>
      <x:c r="K165" s="2" t="n">
        <x:f>IF(OR(I165="",J165=""),"",IFERROR(ROUND(I165*LN(J165+1),1),""))</x:f>
        <x:v>10.4</x:v>
      </x:c>
      <x:c r="L165" s="2" t="str">
        <x:f>IF(K165="","Sem dados - qualificar",IF(K165&gt;=15,"A - Alta",IF(K165&gt;=8,"B - Média","C - Baixa")))</x:f>
        <x:v>B - Média</x:v>
      </x:c>
      <x:c r="M165" s="2" t="inlineStr">
        <x:is>
          <x:t xml:space="preserve">Não contatado</x:t>
        </x:is>
      </x:c>
      <x:c r="N165" s="3" t="inlineStr">
        <x:is>
          <x:t xml:space="preserve"/>
        </x:is>
      </x:c>
      <x:c r="O165" s="3" t="inlineStr">
        <x:is>
          <x:t xml:space="preserve"/>
        </x:is>
      </x:c>
      <x:c r="P165" s="26" t="str"/>
      <x:c r="Q165" s="3" t="inlineStr">
        <x:is>
          <x:t xml:space="preserve"/>
        </x:is>
      </x:c>
      <x:c r="R165" s="5" t="n"/>
      <x:c r="S165" s="3" t="inlineStr">
        <x:is>
          <x:t xml:space="preserve"/>
        </x:is>
      </x:c>
      <x:c r="T165" s="3" t="inlineStr">
        <x:is>
          <x:t xml:space="preserve"/>
        </x:is>
      </x:c>
      <x:c r="U165" s="26" t="str">
        <x:v>Não localizado em fonte pública confiável até 24/07/2026</x:v>
      </x:c>
    </x:row>
    <x:row r="166">
      <x:c r="A166" s="2" t="n">
        <x:v>165</x:v>
      </x:c>
      <x:c r="B166" s="3" t="inlineStr">
        <x:is>
          <x:t xml:space="preserve">Vedacubo Ind. Com. Retentores</x:t>
        </x:is>
      </x:c>
      <x:c r="C166" s="3" t="inlineStr">
        <x:is>
          <x:t xml:space="preserve">Fabricante/Vedações</x:t>
        </x:is>
      </x:c>
      <x:c r="D166" s="3" t="inlineStr">
        <x:is>
          <x:t xml:space="preserve">Maringá</x:t>
        </x:is>
      </x:c>
      <x:c r="E166" s="2" t="inlineStr">
        <x:is>
          <x:t xml:space="preserve">PR</x:t>
        </x:is>
      </x:c>
      <x:c r="F166" s="2" t="inlineStr">
        <x:is>
          <x:t xml:space="preserve">Sul</x:t>
        </x:is>
      </x:c>
      <x:c r="G166" s="3" t="inlineStr">
        <x:is>
          <x:t xml:space="preserve">+55 44 3031-8025</x:t>
        </x:is>
      </x:c>
      <x:c r="H166" s="3" t="inlineStr">
        <x:is>
          <x:t xml:space="preserve">R. Manuel P. de Brito, 230 - PI Bandeirantes</x:t>
        </x:is>
      </x:c>
      <x:c r="I166" s="4" t="n">
        <x:v>4.6</x:v>
      </x:c>
      <x:c r="J166" s="2" t="n">
        <x:v>9</x:v>
      </x:c>
      <x:c r="K166" s="2" t="n">
        <x:f>IF(OR(I166="",J166=""),"",IFERROR(ROUND(I166*LN(J166+1),1),""))</x:f>
        <x:v>10.6</x:v>
      </x:c>
      <x:c r="L166" s="2" t="str">
        <x:f>IF(K166="","Sem dados - qualificar",IF(K166&gt;=15,"A - Alta",IF(K166&gt;=8,"B - Média","C - Baixa")))</x:f>
        <x:v>B - Média</x:v>
      </x:c>
      <x:c r="M166" s="2" t="inlineStr">
        <x:is>
          <x:t xml:space="preserve">Não contatado</x:t>
        </x:is>
      </x:c>
      <x:c r="N166" s="3" t="inlineStr">
        <x:is>
          <x:t xml:space="preserve"/>
        </x:is>
      </x:c>
      <x:c r="O166" s="3" t="inlineStr">
        <x:is>
          <x:t xml:space="preserve"/>
        </x:is>
      </x:c>
      <x:c r="P166" s="26" t="str"/>
      <x:c r="Q166" s="3" t="inlineStr">
        <x:is>
          <x:t xml:space="preserve"/>
        </x:is>
      </x:c>
      <x:c r="R166" s="5" t="n"/>
      <x:c r="S166" s="3" t="inlineStr">
        <x:is>
          <x:t xml:space="preserve"/>
        </x:is>
      </x:c>
      <x:c r="T166" s="3" t="inlineStr">
        <x:is>
          <x:t xml:space="preserve"/>
        </x:is>
      </x:c>
      <x:c r="U166" s="26" t="str">
        <x:v>Não localizado em fonte pública confiável até 24/07/2026</x:v>
      </x:c>
    </x:row>
    <x:row r="167">
      <x:c r="A167" s="2" t="n">
        <x:v>166</x:v>
      </x:c>
      <x:c r="B167" s="3" t="inlineStr">
        <x:is>
          <x:t xml:space="preserve">Rio Preto Distribuidora de Vedações</x:t>
        </x:is>
      </x:c>
      <x:c r="C167" s="3" t="inlineStr">
        <x:is>
          <x:t xml:space="preserve">Distribuidora</x:t>
        </x:is>
      </x:c>
      <x:c r="D167" s="3" t="inlineStr">
        <x:is>
          <x:t xml:space="preserve">Ponta Grossa</x:t>
        </x:is>
      </x:c>
      <x:c r="E167" s="2" t="inlineStr">
        <x:is>
          <x:t xml:space="preserve">PR</x:t>
        </x:is>
      </x:c>
      <x:c r="F167" s="2" t="inlineStr">
        <x:is>
          <x:t xml:space="preserve">Sul</x:t>
        </x:is>
      </x:c>
      <x:c r="G167" s="3" t="inlineStr">
        <x:is>
          <x:t xml:space="preserve">+55 42 3227-0000</x:t>
        </x:is>
      </x:c>
      <x:c r="H167" s="3" t="inlineStr">
        <x:is>
          <x:t xml:space="preserve">Av. Souza Naves, 3092b - Chapada</x:t>
        </x:is>
      </x:c>
      <x:c r="I167" s="4" t="n">
        <x:v>5</x:v>
      </x:c>
      <x:c r="J167" s="2" t="n">
        <x:v>1</x:v>
      </x:c>
      <x:c r="K167" s="2" t="n">
        <x:f>IF(OR(I167="",J167=""),"",IFERROR(ROUND(I167*LN(J167+1),1),""))</x:f>
        <x:v>3.5</x:v>
      </x:c>
      <x:c r="L167" s="2" t="str">
        <x:f>IF(K167="","Sem dados - qualificar",IF(K167&gt;=15,"A - Alta",IF(K167&gt;=8,"B - Média","C - Baixa")))</x:f>
        <x:v>C - Baixa</x:v>
      </x:c>
      <x:c r="M167" s="2" t="inlineStr">
        <x:is>
          <x:t xml:space="preserve">Não contatado</x:t>
        </x:is>
      </x:c>
      <x:c r="N167" s="3" t="inlineStr">
        <x:is>
          <x:t xml:space="preserve"/>
        </x:is>
      </x:c>
      <x:c r="O167" s="3" t="inlineStr">
        <x:is>
          <x:t xml:space="preserve"/>
        </x:is>
      </x:c>
      <x:c r="P167" s="26" t="str"/>
      <x:c r="Q167" s="3" t="inlineStr">
        <x:is>
          <x:t xml:space="preserve"/>
        </x:is>
      </x:c>
      <x:c r="R167" s="5" t="n"/>
      <x:c r="S167" s="3" t="inlineStr">
        <x:is>
          <x:t xml:space="preserve"/>
        </x:is>
      </x:c>
      <x:c r="T167" s="3" t="inlineStr">
        <x:is>
          <x:t xml:space="preserve"/>
        </x:is>
      </x:c>
      <x:c r="U167" s="26" t="str">
        <x:v>Não localizado em fonte pública confiável até 24/07/2026</x:v>
      </x:c>
    </x:row>
    <x:row r="168">
      <x:c r="A168" s="2" t="n">
        <x:v>167</x:v>
      </x:c>
      <x:c r="B168" s="3" t="inlineStr">
        <x:is>
          <x:t xml:space="preserve">Veda Peças Comércio e Serviços</x:t>
        </x:is>
      </x:c>
      <x:c r="C168" s="3" t="inlineStr">
        <x:is>
          <x:t xml:space="preserve">Hidráulica/Vedações</x:t>
        </x:is>
      </x:c>
      <x:c r="D168" s="3" t="inlineStr">
        <x:is>
          <x:t xml:space="preserve">Ponta Grossa</x:t>
        </x:is>
      </x:c>
      <x:c r="E168" s="2" t="inlineStr">
        <x:is>
          <x:t xml:space="preserve">PR</x:t>
        </x:is>
      </x:c>
      <x:c r="F168" s="2" t="inlineStr">
        <x:is>
          <x:t xml:space="preserve">Sul</x:t>
        </x:is>
      </x:c>
      <x:c r="G168" s="3" t="inlineStr">
        <x:is>
          <x:t xml:space="preserve">+55 42 3028-5125</x:t>
        </x:is>
      </x:c>
      <x:c r="H168" s="3" t="inlineStr">
        <x:is>
          <x:t xml:space="preserve">R. Osmário M. Ribas, 400 - Nova Rússia</x:t>
        </x:is>
      </x:c>
      <x:c r="I168" s="4" t="n">
        <x:v>4.6</x:v>
      </x:c>
      <x:c r="J168" s="2" t="n">
        <x:v>36</x:v>
      </x:c>
      <x:c r="K168" s="2" t="n">
        <x:f>IF(OR(I168="",J168=""),"",IFERROR(ROUND(I168*LN(J168+1),1),""))</x:f>
        <x:v>16.6</x:v>
      </x:c>
      <x:c r="L168" s="2" t="str">
        <x:f>IF(K168="","Sem dados - qualificar",IF(K168&gt;=15,"A - Alta",IF(K168&gt;=8,"B - Média","C - Baixa")))</x:f>
        <x:v>A - Alta</x:v>
      </x:c>
      <x:c r="M168" s="2" t="inlineStr">
        <x:is>
          <x:t xml:space="preserve">Não contatado</x:t>
        </x:is>
      </x:c>
      <x:c r="N168" s="3" t="inlineStr">
        <x:is>
          <x:t xml:space="preserve"/>
        </x:is>
      </x:c>
      <x:c r="O168" s="3" t="inlineStr">
        <x:is>
          <x:t xml:space="preserve"/>
        </x:is>
      </x:c>
      <x:c r="P168" s="26" t="str"/>
      <x:c r="Q168" s="3" t="inlineStr">
        <x:is>
          <x:t xml:space="preserve"/>
        </x:is>
      </x:c>
      <x:c r="R168" s="5" t="n"/>
      <x:c r="S168" s="3" t="inlineStr">
        <x:is>
          <x:t xml:space="preserve"/>
        </x:is>
      </x:c>
      <x:c r="T168" s="3" t="inlineStr">
        <x:is>
          <x:t xml:space="preserve"/>
        </x:is>
      </x:c>
      <x:c r="U168" s="26" t="str">
        <x:v>Não localizado em fonte pública confiável até 24/07/2026</x:v>
      </x:c>
    </x:row>
    <x:row r="169">
      <x:c r="A169" s="2" t="n">
        <x:v>168</x:v>
      </x:c>
      <x:c r="B169" s="3" t="inlineStr">
        <x:is>
          <x:t xml:space="preserve">Vedações e Juntas Vila Velha</x:t>
        </x:is>
      </x:c>
      <x:c r="C169" s="3" t="inlineStr">
        <x:is>
          <x:t xml:space="preserve">Juntas/Vedações</x:t>
        </x:is>
      </x:c>
      <x:c r="D169" s="3" t="inlineStr">
        <x:is>
          <x:t xml:space="preserve">Ponta Grossa</x:t>
        </x:is>
      </x:c>
      <x:c r="E169" s="2" t="inlineStr">
        <x:is>
          <x:t xml:space="preserve">PR</x:t>
        </x:is>
      </x:c>
      <x:c r="F169" s="2" t="inlineStr">
        <x:is>
          <x:t xml:space="preserve">Sul</x:t>
        </x:is>
      </x:c>
      <x:c r="G169" s="3" t="inlineStr">
        <x:is>
          <x:t xml:space="preserve">+55 42 3227-1622</x:t>
        </x:is>
      </x:c>
      <x:c r="H169" s="3" t="inlineStr">
        <x:is>
          <x:t xml:space="preserve">R. Otaviano M. Ribas, 227 - Boa Vista</x:t>
        </x:is>
      </x:c>
      <x:c r="I169" s="4" t="n">
        <x:v>4.6</x:v>
      </x:c>
      <x:c r="J169" s="2" t="n">
        <x:v>98</x:v>
      </x:c>
      <x:c r="K169" s="2" t="n">
        <x:f>IF(OR(I169="",J169=""),"",IFERROR(ROUND(I169*LN(J169+1),1),""))</x:f>
        <x:v>21.1</x:v>
      </x:c>
      <x:c r="L169" s="2" t="str">
        <x:f>IF(K169="","Sem dados - qualificar",IF(K169&gt;=15,"A - Alta",IF(K169&gt;=8,"B - Média","C - Baixa")))</x:f>
        <x:v>A - Alta</x:v>
      </x:c>
      <x:c r="M169" s="2" t="inlineStr">
        <x:is>
          <x:t xml:space="preserve">Não contatado</x:t>
        </x:is>
      </x:c>
      <x:c r="N169" s="3" t="inlineStr">
        <x:is>
          <x:t xml:space="preserve"/>
        </x:is>
      </x:c>
      <x:c r="O169" s="3" t="inlineStr">
        <x:is>
          <x:t xml:space="preserve"/>
        </x:is>
      </x:c>
      <x:c r="P169" s="26" t="str"/>
      <x:c r="Q169" s="3" t="inlineStr">
        <x:is>
          <x:t xml:space="preserve"/>
        </x:is>
      </x:c>
      <x:c r="R169" s="5" t="n"/>
      <x:c r="S169" s="3" t="inlineStr">
        <x:is>
          <x:t xml:space="preserve"/>
        </x:is>
      </x:c>
      <x:c r="T169" s="3" t="inlineStr">
        <x:is>
          <x:t xml:space="preserve"/>
        </x:is>
      </x:c>
      <x:c r="U169" s="26" t="str">
        <x:v>Não localizado em fonte pública confiável até 24/07/2026</x:v>
      </x:c>
    </x:row>
    <x:row r="170">
      <x:c r="A170" s="2" t="n">
        <x:v>169</x:v>
      </x:c>
      <x:c r="B170" s="3" t="inlineStr">
        <x:is>
          <x:t xml:space="preserve">JCM Industrial Seals</x:t>
        </x:is>
      </x:c>
      <x:c r="C170" s="3" t="inlineStr">
        <x:is>
          <x:t xml:space="preserve">Vedações</x:t>
        </x:is>
      </x:c>
      <x:c r="D170" s="3" t="inlineStr">
        <x:is>
          <x:t xml:space="preserve">São José dos Pinhais</x:t>
        </x:is>
      </x:c>
      <x:c r="E170" s="2" t="inlineStr">
        <x:is>
          <x:t xml:space="preserve">PR</x:t>
        </x:is>
      </x:c>
      <x:c r="F170" s="2" t="inlineStr">
        <x:is>
          <x:t xml:space="preserve">Sul</x:t>
        </x:is>
      </x:c>
      <x:c r="G170" s="3" t="inlineStr">
        <x:is>
          <x:t xml:space="preserve">+55 41 3282-7211</x:t>
        </x:is>
      </x:c>
      <x:c r="H170" s="3" t="inlineStr">
        <x:is>
          <x:t xml:space="preserve">Av. das Américas, 1021 - Cidade Jardim</x:t>
        </x:is>
      </x:c>
      <x:c r="I170" s="4" t="n">
        <x:v>4.8</x:v>
      </x:c>
      <x:c r="J170" s="2" t="n">
        <x:v>177</x:v>
      </x:c>
      <x:c r="K170" s="2" t="n">
        <x:f>IF(OR(I170="",J170=""),"",IFERROR(ROUND(I170*LN(J170+1),1),""))</x:f>
        <x:v>24.9</x:v>
      </x:c>
      <x:c r="L170" s="2" t="str">
        <x:f>IF(K170="","Sem dados - qualificar",IF(K170&gt;=15,"A - Alta",IF(K170&gt;=8,"B - Média","C - Baixa")))</x:f>
        <x:v>A - Alta</x:v>
      </x:c>
      <x:c r="M170" s="2" t="inlineStr">
        <x:is>
          <x:t xml:space="preserve">Não contatado</x:t>
        </x:is>
      </x:c>
      <x:c r="N170" s="3" t="inlineStr">
        <x:is>
          <x:t xml:space="preserve"/>
        </x:is>
      </x:c>
      <x:c r="O170" s="3" t="inlineStr">
        <x:is>
          <x:t xml:space="preserve"/>
        </x:is>
      </x:c>
      <x:c r="P170" s="26" t="str"/>
      <x:c r="Q170" s="3" t="inlineStr">
        <x:is>
          <x:t xml:space="preserve"/>
        </x:is>
      </x:c>
      <x:c r="R170" s="5" t="n"/>
      <x:c r="S170" s="3" t="inlineStr">
        <x:is>
          <x:t xml:space="preserve"/>
        </x:is>
      </x:c>
      <x:c r="T170" s="3" t="inlineStr">
        <x:is>
          <x:t xml:space="preserve"/>
        </x:is>
      </x:c>
      <x:c r="U170" s="26" t="str">
        <x:v>Não localizado em fonte pública confiável até 24/07/2026</x:v>
      </x:c>
    </x:row>
    <x:row r="171">
      <x:c r="A171" s="2" t="n">
        <x:v>170</x:v>
      </x:c>
      <x:c r="B171" s="3" t="inlineStr">
        <x:is>
          <x:t xml:space="preserve">Ateved Vedações</x:t>
        </x:is>
      </x:c>
      <x:c r="C171" s="3" t="inlineStr">
        <x:is>
          <x:t xml:space="preserve">Fabricante/Vedações</x:t>
        </x:is>
      </x:c>
      <x:c r="D171" s="3" t="inlineStr">
        <x:is>
          <x:t xml:space="preserve">Canoas</x:t>
        </x:is>
      </x:c>
      <x:c r="E171" s="2" t="inlineStr">
        <x:is>
          <x:t xml:space="preserve">RS</x:t>
        </x:is>
      </x:c>
      <x:c r="F171" s="2" t="inlineStr">
        <x:is>
          <x:t xml:space="preserve">Sul</x:t>
        </x:is>
      </x:c>
      <x:c r="G171" s="3" t="inlineStr">
        <x:is>
          <x:t xml:space="preserve">+55 51 3472-4858</x:t>
        </x:is>
      </x:c>
      <x:c r="H171" s="3" t="inlineStr">
        <x:is>
          <x:t xml:space="preserve">R. Ver. Alcídes Nascimento, 30 - Rio Branco</x:t>
        </x:is>
      </x:c>
      <x:c r="I171" s="4" t="n">
        <x:v>1</x:v>
      </x:c>
      <x:c r="J171" s="2" t="n">
        <x:v>1</x:v>
      </x:c>
      <x:c r="K171" s="2" t="n">
        <x:f>IF(OR(I171="",J171=""),"",IFERROR(ROUND(I171*LN(J171+1),1),""))</x:f>
        <x:v>0.7</x:v>
      </x:c>
      <x:c r="L171" s="2" t="str">
        <x:f>IF(K171="","Sem dados - qualificar",IF(K171&gt;=15,"A - Alta",IF(K171&gt;=8,"B - Média","C - Baixa")))</x:f>
        <x:v>C - Baixa</x:v>
      </x:c>
      <x:c r="M171" s="2" t="inlineStr">
        <x:is>
          <x:t xml:space="preserve">Não contatado</x:t>
        </x:is>
      </x:c>
      <x:c r="N171" s="3" t="inlineStr">
        <x:is>
          <x:t xml:space="preserve"/>
        </x:is>
      </x:c>
      <x:c r="O171" s="3" t="inlineStr">
        <x:is>
          <x:t xml:space="preserve"/>
        </x:is>
      </x:c>
      <x:c r="P171" s="26" t="str"/>
      <x:c r="Q171" s="3" t="inlineStr">
        <x:is>
          <x:t xml:space="preserve"/>
        </x:is>
      </x:c>
      <x:c r="R171" s="5" t="n"/>
      <x:c r="S171" s="3" t="inlineStr">
        <x:is>
          <x:t xml:space="preserve"/>
        </x:is>
      </x:c>
      <x:c r="T171" s="3" t="inlineStr">
        <x:is>
          <x:t xml:space="preserve"/>
        </x:is>
      </x:c>
      <x:c r="U171" s="26" t="str">
        <x:v>Não localizado em fonte pública confiável até 24/07/2026</x:v>
      </x:c>
    </x:row>
    <x:row r="172">
      <x:c r="A172" s="2" t="n">
        <x:v>171</x:v>
      </x:c>
      <x:c r="B172" s="3" t="inlineStr">
        <x:is>
          <x:t xml:space="preserve">CGL Casa das Gaxetas</x:t>
        </x:is>
      </x:c>
      <x:c r="C172" s="3" t="inlineStr">
        <x:is>
          <x:t xml:space="preserve">Vedações</x:t>
        </x:is>
      </x:c>
      <x:c r="D172" s="3" t="inlineStr">
        <x:is>
          <x:t xml:space="preserve">Caxias do Sul</x:t>
        </x:is>
      </x:c>
      <x:c r="E172" s="2" t="inlineStr">
        <x:is>
          <x:t xml:space="preserve">RS</x:t>
        </x:is>
      </x:c>
      <x:c r="F172" s="2" t="inlineStr">
        <x:is>
          <x:t xml:space="preserve">Sul</x:t>
        </x:is>
      </x:c>
      <x:c r="G172" s="3" t="inlineStr">
        <x:is>
          <x:t xml:space="preserve">+55 54 3222-1744</x:t>
        </x:is>
      </x:c>
      <x:c r="H172" s="3" t="inlineStr">
        <x:is>
          <x:t xml:space="preserve">Av. Ruben Bento Alves, 2222 - Universitário</x:t>
        </x:is>
      </x:c>
      <x:c r="I172" s="4" t="n">
        <x:v>5</x:v>
      </x:c>
      <x:c r="J172" s="2" t="n">
        <x:v>48</x:v>
      </x:c>
      <x:c r="K172" s="2" t="n">
        <x:f>IF(OR(I172="",J172=""),"",IFERROR(ROUND(I172*LN(J172+1),1),""))</x:f>
        <x:v>19.5</x:v>
      </x:c>
      <x:c r="L172" s="2" t="str">
        <x:f>IF(K172="","Sem dados - qualificar",IF(K172&gt;=15,"A - Alta",IF(K172&gt;=8,"B - Média","C - Baixa")))</x:f>
        <x:v>A - Alta</x:v>
      </x:c>
      <x:c r="M172" s="2" t="inlineStr">
        <x:is>
          <x:t xml:space="preserve">Não contatado</x:t>
        </x:is>
      </x:c>
      <x:c r="N172" s="3" t="inlineStr">
        <x:is>
          <x:t xml:space="preserve"/>
        </x:is>
      </x:c>
      <x:c r="O172" s="3" t="inlineStr">
        <x:is>
          <x:t xml:space="preserve"/>
        </x:is>
      </x:c>
      <x:c r="P172" s="26" t="str">
        <x:v>caxias@gaxetas.com.br</x:v>
      </x:c>
      <x:c r="Q172" s="3" t="inlineStr">
        <x:is>
          <x:t xml:space="preserve"/>
        </x:is>
      </x:c>
      <x:c r="R172" s="5" t="n"/>
      <x:c r="S172" s="3" t="inlineStr">
        <x:is>
          <x:t xml:space="preserve"/>
        </x:is>
      </x:c>
      <x:c r="T172" s="3" t="inlineStr">
        <x:is>
          <x:t xml:space="preserve"/>
        </x:is>
      </x:c>
      <x:c r="U172" s="26" t="str">
        <x:v>https://gaxetas.com.br/sobre-nos/</x:v>
      </x:c>
    </x:row>
    <x:row r="173">
      <x:c r="A173" s="2" t="n">
        <x:v>172</x:v>
      </x:c>
      <x:c r="B173" s="3" t="inlineStr">
        <x:is>
          <x:t xml:space="preserve">Central de Vedações</x:t>
        </x:is>
      </x:c>
      <x:c r="C173" s="3" t="inlineStr">
        <x:is>
          <x:t xml:space="preserve">Vedações</x:t>
        </x:is>
      </x:c>
      <x:c r="D173" s="3" t="inlineStr">
        <x:is>
          <x:t xml:space="preserve">Caxias do Sul</x:t>
        </x:is>
      </x:c>
      <x:c r="E173" s="2" t="inlineStr">
        <x:is>
          <x:t xml:space="preserve">RS</x:t>
        </x:is>
      </x:c>
      <x:c r="F173" s="2" t="inlineStr">
        <x:is>
          <x:t xml:space="preserve">Sul</x:t>
        </x:is>
      </x:c>
      <x:c r="G173" s="3" t="inlineStr">
        <x:is>
          <x:t xml:space="preserve">+55 54 3066-7070</x:t>
        </x:is>
      </x:c>
      <x:c r="H173" s="3" t="inlineStr">
        <x:is>
          <x:t xml:space="preserve">R. Conselheiro Dantas, 410 - Lourdes</x:t>
        </x:is>
      </x:c>
      <x:c r="I173" s="4" t="n">
        <x:v>4.9</x:v>
      </x:c>
      <x:c r="J173" s="2" t="n">
        <x:v>49</x:v>
      </x:c>
      <x:c r="K173" s="2" t="n">
        <x:f>IF(OR(I173="",J173=""),"",IFERROR(ROUND(I173*LN(J173+1),1),""))</x:f>
        <x:v>19.2</x:v>
      </x:c>
      <x:c r="L173" s="2" t="str">
        <x:f>IF(K173="","Sem dados - qualificar",IF(K173&gt;=15,"A - Alta",IF(K173&gt;=8,"B - Média","C - Baixa")))</x:f>
        <x:v>A - Alta</x:v>
      </x:c>
      <x:c r="M173" s="2" t="inlineStr">
        <x:is>
          <x:t xml:space="preserve">Não contatado</x:t>
        </x:is>
      </x:c>
      <x:c r="N173" s="3" t="inlineStr">
        <x:is>
          <x:t xml:space="preserve"/>
        </x:is>
      </x:c>
      <x:c r="O173" s="3" t="inlineStr">
        <x:is>
          <x:t xml:space="preserve"/>
        </x:is>
      </x:c>
      <x:c r="P173" s="26" t="str"/>
      <x:c r="Q173" s="3" t="inlineStr">
        <x:is>
          <x:t xml:space="preserve"/>
        </x:is>
      </x:c>
      <x:c r="R173" s="5" t="n"/>
      <x:c r="S173" s="3" t="inlineStr">
        <x:is>
          <x:t xml:space="preserve"/>
        </x:is>
      </x:c>
      <x:c r="T173" s="3" t="inlineStr">
        <x:is>
          <x:t xml:space="preserve"/>
        </x:is>
      </x:c>
      <x:c r="U173" s="26" t="str">
        <x:v>Não localizado em fonte pública confiável até 24/07/2026</x:v>
      </x:c>
    </x:row>
    <x:row r="174">
      <x:c r="A174" s="2" t="n">
        <x:v>173</x:v>
      </x:c>
      <x:c r="B174" s="3" t="inlineStr">
        <x:is>
          <x:t xml:space="preserve">Kipel Comércio de Vedações Hidráulicas e Pneumáticas</x:t>
        </x:is>
      </x:c>
      <x:c r="C174" s="3" t="inlineStr">
        <x:is>
          <x:t xml:space="preserve">Hidráulica/Vedações</x:t>
        </x:is>
      </x:c>
      <x:c r="D174" s="3" t="inlineStr">
        <x:is>
          <x:t xml:space="preserve">Caxias do Sul</x:t>
        </x:is>
      </x:c>
      <x:c r="E174" s="2" t="inlineStr">
        <x:is>
          <x:t xml:space="preserve">RS</x:t>
        </x:is>
      </x:c>
      <x:c r="F174" s="2" t="inlineStr">
        <x:is>
          <x:t xml:space="preserve">Sul</x:t>
        </x:is>
      </x:c>
      <x:c r="G174" s="3" t="inlineStr">
        <x:is>
          <x:t xml:space="preserve">+55 54 3229-4188</x:t>
        </x:is>
      </x:c>
      <x:c r="H174" s="3" t="inlineStr">
        <x:is>
          <x:t xml:space="preserve">Av. Ruben Bento Alves, 1507 - Interlagos</x:t>
        </x:is>
      </x:c>
      <x:c r="I174" s="4" t="n">
        <x:v>4.6</x:v>
      </x:c>
      <x:c r="J174" s="2" t="n">
        <x:v>14</x:v>
      </x:c>
      <x:c r="K174" s="2" t="n">
        <x:f>IF(OR(I174="",J174=""),"",IFERROR(ROUND(I174*LN(J174+1),1),""))</x:f>
        <x:v>12.5</x:v>
      </x:c>
      <x:c r="L174" s="2" t="str">
        <x:f>IF(K174="","Sem dados - qualificar",IF(K174&gt;=15,"A - Alta",IF(K174&gt;=8,"B - Média","C - Baixa")))</x:f>
        <x:v>B - Média</x:v>
      </x:c>
      <x:c r="M174" s="2" t="inlineStr">
        <x:is>
          <x:t xml:space="preserve">Não contatado</x:t>
        </x:is>
      </x:c>
      <x:c r="N174" s="3" t="inlineStr">
        <x:is>
          <x:t xml:space="preserve"/>
        </x:is>
      </x:c>
      <x:c r="O174" s="3" t="inlineStr">
        <x:is>
          <x:t xml:space="preserve"/>
        </x:is>
      </x:c>
      <x:c r="P174" s="26" t="str">
        <x:v>contato@kipel.com.br</x:v>
      </x:c>
      <x:c r="Q174" s="3" t="inlineStr">
        <x:is>
          <x:t xml:space="preserve"/>
        </x:is>
      </x:c>
      <x:c r="R174" s="5" t="n"/>
      <x:c r="S174" s="3" t="inlineStr">
        <x:is>
          <x:t xml:space="preserve"/>
        </x:is>
      </x:c>
      <x:c r="T174" s="3" t="inlineStr">
        <x:is>
          <x:t xml:space="preserve"/>
        </x:is>
      </x:c>
      <x:c r="U174" s="26" t="str">
        <x:v>https://kipel.com.br/</x:v>
      </x:c>
    </x:row>
    <x:row r="175">
      <x:c r="A175" s="2" t="n">
        <x:v>174</x:v>
      </x:c>
      <x:c r="B175" s="3" t="inlineStr">
        <x:is>
          <x:t xml:space="preserve">LDV Comércio de Peças para Vedação e Fixação</x:t>
        </x:is>
      </x:c>
      <x:c r="C175" s="3" t="inlineStr">
        <x:is>
          <x:t xml:space="preserve">Vedações</x:t>
        </x:is>
      </x:c>
      <x:c r="D175" s="3" t="inlineStr">
        <x:is>
          <x:t xml:space="preserve">Caxias do Sul</x:t>
        </x:is>
      </x:c>
      <x:c r="E175" s="2" t="inlineStr">
        <x:is>
          <x:t xml:space="preserve">RS</x:t>
        </x:is>
      </x:c>
      <x:c r="F175" s="2" t="inlineStr">
        <x:is>
          <x:t xml:space="preserve">Sul</x:t>
        </x:is>
      </x:c>
      <x:c r="G175" s="3" t="inlineStr">
        <x:is>
          <x:t xml:space="preserve">+55 54 3229-0366</x:t>
        </x:is>
      </x:c>
      <x:c r="H175" s="3" t="inlineStr">
        <x:is>
          <x:t xml:space="preserve">BR-116, 2775 - Lourdes</x:t>
        </x:is>
      </x:c>
      <x:c r="I175" s="4" t="n">
        <x:v>4.9</x:v>
      </x:c>
      <x:c r="J175" s="2" t="n">
        <x:v>7</x:v>
      </x:c>
      <x:c r="K175" s="2" t="n">
        <x:f>IF(OR(I175="",J175=""),"",IFERROR(ROUND(I175*LN(J175+1),1),""))</x:f>
        <x:v>10.2</x:v>
      </x:c>
      <x:c r="L175" s="2" t="str">
        <x:f>IF(K175="","Sem dados - qualificar",IF(K175&gt;=15,"A - Alta",IF(K175&gt;=8,"B - Média","C - Baixa")))</x:f>
        <x:v>B - Média</x:v>
      </x:c>
      <x:c r="M175" s="2" t="inlineStr">
        <x:is>
          <x:t xml:space="preserve">Não contatado</x:t>
        </x:is>
      </x:c>
      <x:c r="N175" s="3" t="inlineStr">
        <x:is>
          <x:t xml:space="preserve"/>
        </x:is>
      </x:c>
      <x:c r="O175" s="3" t="inlineStr">
        <x:is>
          <x:t xml:space="preserve"/>
        </x:is>
      </x:c>
      <x:c r="P175" s="26" t="str"/>
      <x:c r="Q175" s="3" t="inlineStr">
        <x:is>
          <x:t xml:space="preserve"/>
        </x:is>
      </x:c>
      <x:c r="R175" s="5" t="n"/>
      <x:c r="S175" s="3" t="inlineStr">
        <x:is>
          <x:t xml:space="preserve"/>
        </x:is>
      </x:c>
      <x:c r="T175" s="3" t="inlineStr">
        <x:is>
          <x:t xml:space="preserve"/>
        </x:is>
      </x:c>
      <x:c r="U175" s="26" t="str">
        <x:v>Não localizado em fonte pública confiável até 24/07/2026</x:v>
      </x:c>
    </x:row>
    <x:row r="176">
      <x:c r="A176" s="2" t="n">
        <x:v>175</x:v>
      </x:c>
      <x:c r="B176" s="3" t="inlineStr">
        <x:is>
          <x:t xml:space="preserve">MR Vedações (Metalved)</x:t>
        </x:is>
      </x:c>
      <x:c r="C176" s="3" t="inlineStr">
        <x:is>
          <x:t xml:space="preserve">Fabricante/Vedações</x:t>
        </x:is>
      </x:c>
      <x:c r="D176" s="3" t="inlineStr">
        <x:is>
          <x:t xml:space="preserve">Caxias do Sul</x:t>
        </x:is>
      </x:c>
      <x:c r="E176" s="2" t="inlineStr">
        <x:is>
          <x:t xml:space="preserve">RS</x:t>
        </x:is>
      </x:c>
      <x:c r="F176" s="2" t="inlineStr">
        <x:is>
          <x:t xml:space="preserve">Sul</x:t>
        </x:is>
      </x:c>
      <x:c r="G176" s="3" t="inlineStr">
        <x:is>
          <x:t xml:space="preserve">+55 54 3208-2890</x:t>
        </x:is>
      </x:c>
      <x:c r="H176" s="3" t="inlineStr">
        <x:is>
          <x:t xml:space="preserve">R. Alexandre de Antoni, 2337 - Universitário</x:t>
        </x:is>
      </x:c>
      <x:c r="I176" s="4" t="n">
        <x:v>4.1</x:v>
      </x:c>
      <x:c r="J176" s="2" t="n">
        <x:v>18</x:v>
      </x:c>
      <x:c r="K176" s="2" t="n">
        <x:f>IF(OR(I176="",J176=""),"",IFERROR(ROUND(I176*LN(J176+1),1),""))</x:f>
        <x:v>12.1</x:v>
      </x:c>
      <x:c r="L176" s="2" t="str">
        <x:f>IF(K176="","Sem dados - qualificar",IF(K176&gt;=15,"A - Alta",IF(K176&gt;=8,"B - Média","C - Baixa")))</x:f>
        <x:v>B - Média</x:v>
      </x:c>
      <x:c r="M176" s="2" t="inlineStr">
        <x:is>
          <x:t xml:space="preserve">Não contatado</x:t>
        </x:is>
      </x:c>
      <x:c r="N176" s="3" t="inlineStr">
        <x:is>
          <x:t xml:space="preserve"/>
        </x:is>
      </x:c>
      <x:c r="O176" s="3" t="inlineStr">
        <x:is>
          <x:t xml:space="preserve"/>
        </x:is>
      </x:c>
      <x:c r="P176" s="26" t="str"/>
      <x:c r="Q176" s="3" t="inlineStr">
        <x:is>
          <x:t xml:space="preserve"/>
        </x:is>
      </x:c>
      <x:c r="R176" s="5" t="n"/>
      <x:c r="S176" s="3" t="inlineStr">
        <x:is>
          <x:t xml:space="preserve"/>
        </x:is>
      </x:c>
      <x:c r="T176" s="3" t="inlineStr">
        <x:is>
          <x:t xml:space="preserve"/>
        </x:is>
      </x:c>
      <x:c r="U176" s="26" t="str">
        <x:v>Não localizado em fonte pública confiável até 24/07/2026</x:v>
      </x:c>
    </x:row>
    <x:row r="177">
      <x:c r="A177" s="2" t="n">
        <x:v>176</x:v>
      </x:c>
      <x:c r="B177" s="3" t="inlineStr">
        <x:is>
          <x:t xml:space="preserve">Sideral Ind. e Com. de Peças</x:t>
        </x:is>
      </x:c>
      <x:c r="C177" s="3" t="inlineStr">
        <x:is>
          <x:t xml:space="preserve">Fixação/Vedações</x:t>
        </x:is>
      </x:c>
      <x:c r="D177" s="3" t="inlineStr">
        <x:is>
          <x:t xml:space="preserve">Caxias do Sul</x:t>
        </x:is>
      </x:c>
      <x:c r="E177" s="2" t="inlineStr">
        <x:is>
          <x:t xml:space="preserve">RS</x:t>
        </x:is>
      </x:c>
      <x:c r="F177" s="2" t="inlineStr">
        <x:is>
          <x:t xml:space="preserve">Sul</x:t>
        </x:is>
      </x:c>
      <x:c r="G177" s="3" t="inlineStr">
        <x:is>
          <x:t xml:space="preserve">+55 54 3224-3900</x:t>
        </x:is>
      </x:c>
      <x:c r="H177" s="3" t="inlineStr">
        <x:is>
          <x:t xml:space="preserve">Av. Ruben Bento Alves, 2333 - Universitário</x:t>
        </x:is>
      </x:c>
      <x:c r="I177" s="4" t="n">
        <x:v>3.6</x:v>
      </x:c>
      <x:c r="J177" s="2" t="n">
        <x:v>61</x:v>
      </x:c>
      <x:c r="K177" s="2" t="n">
        <x:f>IF(OR(I177="",J177=""),"",IFERROR(ROUND(I177*LN(J177+1),1),""))</x:f>
        <x:v>14.9</x:v>
      </x:c>
      <x:c r="L177" s="2" t="str">
        <x:f>IF(K177="","Sem dados - qualificar",IF(K177&gt;=15,"A - Alta",IF(K177&gt;=8,"B - Média","C - Baixa")))</x:f>
        <x:v>B - Média</x:v>
      </x:c>
      <x:c r="M177" s="2" t="inlineStr">
        <x:is>
          <x:t xml:space="preserve">Não contatado</x:t>
        </x:is>
      </x:c>
      <x:c r="N177" s="3" t="inlineStr">
        <x:is>
          <x:t xml:space="preserve"/>
        </x:is>
      </x:c>
      <x:c r="O177" s="3" t="inlineStr">
        <x:is>
          <x:t xml:space="preserve"/>
        </x:is>
      </x:c>
      <x:c r="P177" s="26" t="str"/>
      <x:c r="Q177" s="3" t="inlineStr">
        <x:is>
          <x:t xml:space="preserve"/>
        </x:is>
      </x:c>
      <x:c r="R177" s="5" t="n"/>
      <x:c r="S177" s="3" t="inlineStr">
        <x:is>
          <x:t xml:space="preserve"/>
        </x:is>
      </x:c>
      <x:c r="T177" s="3" t="inlineStr">
        <x:is>
          <x:t xml:space="preserve"/>
        </x:is>
      </x:c>
      <x:c r="U177" s="26" t="str">
        <x:v>Não localizado em fonte pública confiável até 24/07/2026</x:v>
      </x:c>
    </x:row>
    <x:row r="178">
      <x:c r="A178" s="2" t="n">
        <x:v>177</x:v>
      </x:c>
      <x:c r="B178" s="3" t="inlineStr">
        <x:is>
          <x:t xml:space="preserve">Vedajet Ind. e Com. de Vedações</x:t>
        </x:is>
      </x:c>
      <x:c r="C178" s="3" t="inlineStr">
        <x:is>
          <x:t xml:space="preserve">Fabricante/Vedações</x:t>
        </x:is>
      </x:c>
      <x:c r="D178" s="3" t="inlineStr">
        <x:is>
          <x:t xml:space="preserve">Caxias do Sul</x:t>
        </x:is>
      </x:c>
      <x:c r="E178" s="2" t="inlineStr">
        <x:is>
          <x:t xml:space="preserve">RS</x:t>
        </x:is>
      </x:c>
      <x:c r="F178" s="2" t="inlineStr">
        <x:is>
          <x:t xml:space="preserve">Sul</x:t>
        </x:is>
      </x:c>
      <x:c r="G178" s="3" t="inlineStr">
        <x:is>
          <x:t xml:space="preserve">+55 54 3021-6717</x:t>
        </x:is>
      </x:c>
      <x:c r="H178" s="3" t="inlineStr">
        <x:is>
          <x:t xml:space="preserve">R. Ver. Mario Pezzi, 928 - Exposição</x:t>
        </x:is>
      </x:c>
      <x:c r="I178" s="4" t="n">
        <x:v>5</x:v>
      </x:c>
      <x:c r="J178" s="2" t="n">
        <x:v>1</x:v>
      </x:c>
      <x:c r="K178" s="2" t="n">
        <x:f>IF(OR(I178="",J178=""),"",IFERROR(ROUND(I178*LN(J178+1),1),""))</x:f>
        <x:v>3.5</x:v>
      </x:c>
      <x:c r="L178" s="2" t="str">
        <x:f>IF(K178="","Sem dados - qualificar",IF(K178&gt;=15,"A - Alta",IF(K178&gt;=8,"B - Média","C - Baixa")))</x:f>
        <x:v>C - Baixa</x:v>
      </x:c>
      <x:c r="M178" s="2" t="inlineStr">
        <x:is>
          <x:t xml:space="preserve">Não contatado</x:t>
        </x:is>
      </x:c>
      <x:c r="N178" s="3" t="inlineStr">
        <x:is>
          <x:t xml:space="preserve"/>
        </x:is>
      </x:c>
      <x:c r="O178" s="3" t="inlineStr">
        <x:is>
          <x:t xml:space="preserve"/>
        </x:is>
      </x:c>
      <x:c r="P178" s="26" t="str">
        <x:v>vedajet@vedajet.com.br</x:v>
      </x:c>
      <x:c r="Q178" s="3" t="inlineStr">
        <x:is>
          <x:t xml:space="preserve"/>
        </x:is>
      </x:c>
      <x:c r="R178" s="5" t="n"/>
      <x:c r="S178" s="3" t="inlineStr">
        <x:is>
          <x:t xml:space="preserve"/>
        </x:is>
      </x:c>
      <x:c r="T178" s="3" t="inlineStr">
        <x:is>
          <x:t xml:space="preserve"/>
        </x:is>
      </x:c>
      <x:c r="U178" s="26" t="str">
        <x:v>https://www.vedajet.com.br/</x:v>
      </x:c>
    </x:row>
    <x:row r="179">
      <x:c r="A179" s="2" t="n">
        <x:v>178</x:v>
      </x:c>
      <x:c r="B179" s="3" t="inlineStr">
        <x:is>
          <x:t xml:space="preserve">RS Vedações Hidráulicas e Pneumáticas</x:t>
        </x:is>
      </x:c>
      <x:c r="C179" s="3" t="inlineStr">
        <x:is>
          <x:t xml:space="preserve">Hidráulica/Vedações</x:t>
        </x:is>
      </x:c>
      <x:c r="D179" s="3" t="inlineStr">
        <x:is>
          <x:t xml:space="preserve">Novo Hamburgo</x:t>
        </x:is>
      </x:c>
      <x:c r="E179" s="2" t="inlineStr">
        <x:is>
          <x:t xml:space="preserve">RS</x:t>
        </x:is>
      </x:c>
      <x:c r="F179" s="2" t="inlineStr">
        <x:is>
          <x:t xml:space="preserve">Sul</x:t>
        </x:is>
      </x:c>
      <x:c r="G179" s="3" t="inlineStr">
        <x:is>
          <x:t xml:space="preserve">+55 51 3066-2207</x:t>
        </x:is>
      </x:c>
      <x:c r="H179" s="3" t="inlineStr">
        <x:is>
          <x:t xml:space="preserve">R. Rincão, 136 - Rincão</x:t>
        </x:is>
      </x:c>
      <x:c r="I179" s="4" t="n">
        <x:v>5</x:v>
      </x:c>
      <x:c r="J179" s="2" t="n">
        <x:v>4</x:v>
      </x:c>
      <x:c r="K179" s="2" t="n">
        <x:f>IF(OR(I179="",J179=""),"",IFERROR(ROUND(I179*LN(J179+1),1),""))</x:f>
        <x:v>8</x:v>
      </x:c>
      <x:c r="L179" s="2" t="str">
        <x:f>IF(K179="","Sem dados - qualificar",IF(K179&gt;=15,"A - Alta",IF(K179&gt;=8,"B - Média","C - Baixa")))</x:f>
        <x:v>B - Média</x:v>
      </x:c>
      <x:c r="M179" s="2" t="inlineStr">
        <x:is>
          <x:t xml:space="preserve">Não contatado</x:t>
        </x:is>
      </x:c>
      <x:c r="N179" s="3" t="inlineStr">
        <x:is>
          <x:t xml:space="preserve"/>
        </x:is>
      </x:c>
      <x:c r="O179" s="3" t="inlineStr">
        <x:is>
          <x:t xml:space="preserve"/>
        </x:is>
      </x:c>
      <x:c r="P179" s="26" t="str"/>
      <x:c r="Q179" s="3" t="inlineStr">
        <x:is>
          <x:t xml:space="preserve"/>
        </x:is>
      </x:c>
      <x:c r="R179" s="5" t="n"/>
      <x:c r="S179" s="3" t="inlineStr">
        <x:is>
          <x:t xml:space="preserve"/>
        </x:is>
      </x:c>
      <x:c r="T179" s="3" t="inlineStr">
        <x:is>
          <x:t xml:space="preserve"/>
        </x:is>
      </x:c>
      <x:c r="U179" s="26" t="str">
        <x:v>Não localizado em fonte pública confiável até 24/07/2026</x:v>
      </x:c>
    </x:row>
    <x:row r="180">
      <x:c r="A180" s="2" t="n">
        <x:v>179</x:v>
      </x:c>
      <x:c r="B180" s="3" t="inlineStr">
        <x:is>
          <x:t xml:space="preserve">Vedasinos Comércio Seals</x:t>
        </x:is>
      </x:c>
      <x:c r="C180" s="3" t="inlineStr">
        <x:is>
          <x:t xml:space="preserve">Vedações</x:t>
        </x:is>
      </x:c>
      <x:c r="D180" s="3" t="inlineStr">
        <x:is>
          <x:t xml:space="preserve">Novo Hamburgo</x:t>
        </x:is>
      </x:c>
      <x:c r="E180" s="2" t="inlineStr">
        <x:is>
          <x:t xml:space="preserve">RS</x:t>
        </x:is>
      </x:c>
      <x:c r="F180" s="2" t="inlineStr">
        <x:is>
          <x:t xml:space="preserve">Sul</x:t>
        </x:is>
      </x:c>
      <x:c r="G180" s="3" t="inlineStr">
        <x:is>
          <x:t xml:space="preserve">+55 51 3594-4410</x:t>
        </x:is>
      </x:c>
      <x:c r="H180" s="3" t="inlineStr">
        <x:is>
          <x:t xml:space="preserve">Av. Nações Unidas, 3230 - Pátria Nova</x:t>
        </x:is>
      </x:c>
      <x:c r="I180" s="4" t="n">
        <x:v>4.4</x:v>
      </x:c>
      <x:c r="J180" s="2" t="n">
        <x:v>336</x:v>
      </x:c>
      <x:c r="K180" s="2" t="n">
        <x:f>IF(OR(I180="",J180=""),"",IFERROR(ROUND(I180*LN(J180+1),1),""))</x:f>
        <x:v>25.6</x:v>
      </x:c>
      <x:c r="L180" s="2" t="str">
        <x:f>IF(K180="","Sem dados - qualificar",IF(K180&gt;=15,"A - Alta",IF(K180&gt;=8,"B - Média","C - Baixa")))</x:f>
        <x:v>A - Alta</x:v>
      </x:c>
      <x:c r="M180" s="2" t="inlineStr">
        <x:is>
          <x:t xml:space="preserve">Não contatado</x:t>
        </x:is>
      </x:c>
      <x:c r="N180" s="3" t="inlineStr">
        <x:is>
          <x:t xml:space="preserve"/>
        </x:is>
      </x:c>
      <x:c r="O180" s="3" t="inlineStr">
        <x:is>
          <x:t xml:space="preserve"/>
        </x:is>
      </x:c>
      <x:c r="P180" s="26" t="str">
        <x:v>gerencia@vedasinos.com.br</x:v>
      </x:c>
      <x:c r="Q180" s="3" t="inlineStr">
        <x:is>
          <x:t xml:space="preserve"/>
        </x:is>
      </x:c>
      <x:c r="R180" s="5" t="n"/>
      <x:c r="S180" s="3" t="inlineStr">
        <x:is>
          <x:t xml:space="preserve"/>
        </x:is>
      </x:c>
      <x:c r="T180" s="3" t="inlineStr">
        <x:is>
          <x:t xml:space="preserve"/>
        </x:is>
      </x:c>
      <x:c r="U180" s="26" t="str">
        <x:v>https://www.instagram.com/vedasinos/</x:v>
      </x:c>
    </x:row>
    <x:row r="181">
      <x:c r="A181" s="2" t="n">
        <x:v>180</x:v>
      </x:c>
      <x:c r="B181" s="3" t="inlineStr">
        <x:is>
          <x:t xml:space="preserve">Valcron</x:t>
        </x:is>
      </x:c>
      <x:c r="C181" s="3" t="inlineStr">
        <x:is>
          <x:t xml:space="preserve">Hidráulica/Vedações</x:t>
        </x:is>
      </x:c>
      <x:c r="D181" s="3" t="inlineStr">
        <x:is>
          <x:t xml:space="preserve">Pelotas</x:t>
        </x:is>
      </x:c>
      <x:c r="E181" s="2" t="inlineStr">
        <x:is>
          <x:t xml:space="preserve">RS</x:t>
        </x:is>
      </x:c>
      <x:c r="F181" s="2" t="inlineStr">
        <x:is>
          <x:t xml:space="preserve">Sul</x:t>
        </x:is>
      </x:c>
      <x:c r="G181" s="3" t="inlineStr">
        <x:is>
          <x:t xml:space="preserve">+55 53 3279-3850</x:t>
        </x:is>
      </x:c>
      <x:c r="H181" s="3" t="inlineStr">
        <x:is>
          <x:t xml:space="preserve">Av. Ferreira Viana, 826 - Areal</x:t>
        </x:is>
      </x:c>
      <x:c r="I181" s="4" t="n">
        <x:v>4.6</x:v>
      </x:c>
      <x:c r="J181" s="2" t="n">
        <x:v>272</x:v>
      </x:c>
      <x:c r="K181" s="2" t="n">
        <x:f>IF(OR(I181="",J181=""),"",IFERROR(ROUND(I181*LN(J181+1),1),""))</x:f>
        <x:v>25.8</x:v>
      </x:c>
      <x:c r="L181" s="2" t="str">
        <x:f>IF(K181="","Sem dados - qualificar",IF(K181&gt;=15,"A - Alta",IF(K181&gt;=8,"B - Média","C - Baixa")))</x:f>
        <x:v>A - Alta</x:v>
      </x:c>
      <x:c r="M181" s="2" t="inlineStr">
        <x:is>
          <x:t xml:space="preserve">Não contatado</x:t>
        </x:is>
      </x:c>
      <x:c r="N181" s="3" t="inlineStr">
        <x:is>
          <x:t xml:space="preserve"/>
        </x:is>
      </x:c>
      <x:c r="O181" s="3" t="inlineStr">
        <x:is>
          <x:t xml:space="preserve"/>
        </x:is>
      </x:c>
      <x:c r="P181" s="26" t="str">
        <x:v>fiscal@valcron.com.br</x:v>
      </x:c>
      <x:c r="Q181" s="3" t="inlineStr">
        <x:is>
          <x:t xml:space="preserve"/>
        </x:is>
      </x:c>
      <x:c r="R181" s="5" t="n"/>
      <x:c r="S181" s="3" t="inlineStr">
        <x:is>
          <x:t xml:space="preserve"/>
        </x:is>
      </x:c>
      <x:c r="T181" s="3" t="inlineStr">
        <x:is>
          <x:t xml:space="preserve"/>
        </x:is>
      </x:c>
      <x:c r="U181" s="26" t="str">
        <x:v>https://portaldatransparencia.gov.br/contratos/1974267503/pessoa-juridica/91836494000102</x:v>
      </x:c>
    </x:row>
    <x:row r="182">
      <x:c r="A182" s="2" t="n">
        <x:v>181</x:v>
      </x:c>
      <x:c r="B182" s="3" t="inlineStr">
        <x:is>
          <x:t xml:space="preserve">House of Gaskets</x:t>
        </x:is>
      </x:c>
      <x:c r="C182" s="3" t="inlineStr">
        <x:is>
          <x:t xml:space="preserve">Juntas/Vedações</x:t>
        </x:is>
      </x:c>
      <x:c r="D182" s="3" t="inlineStr">
        <x:is>
          <x:t xml:space="preserve">Porto Alegre</x:t>
        </x:is>
      </x:c>
      <x:c r="E182" s="2" t="inlineStr">
        <x:is>
          <x:t xml:space="preserve">RS</x:t>
        </x:is>
      </x:c>
      <x:c r="F182" s="2" t="inlineStr">
        <x:is>
          <x:t xml:space="preserve">Sul</x:t>
        </x:is>
      </x:c>
      <x:c r="G182" s="3" t="inlineStr">
        <x:is>
          <x:t xml:space="preserve">+55 51 3337-1233</x:t>
        </x:is>
      </x:c>
      <x:c r="H182" s="3" t="inlineStr">
        <x:is>
          <x:t xml:space="preserve">Av. Ceará, 572 - São João</x:t>
        </x:is>
      </x:c>
      <x:c r="I182" s="4" t="n">
        <x:v>4.9</x:v>
      </x:c>
      <x:c r="J182" s="2" t="n">
        <x:v>475</x:v>
      </x:c>
      <x:c r="K182" s="2" t="n">
        <x:f>IF(OR(I182="",J182=""),"",IFERROR(ROUND(I182*LN(J182+1),1),""))</x:f>
        <x:v>30.2</x:v>
      </x:c>
      <x:c r="L182" s="2" t="str">
        <x:f>IF(K182="","Sem dados - qualificar",IF(K182&gt;=15,"A - Alta",IF(K182&gt;=8,"B - Média","C - Baixa")))</x:f>
        <x:v>A - Alta</x:v>
      </x:c>
      <x:c r="M182" s="2" t="inlineStr">
        <x:is>
          <x:t xml:space="preserve">Não contatado</x:t>
        </x:is>
      </x:c>
      <x:c r="N182" s="3" t="inlineStr">
        <x:is>
          <x:t xml:space="preserve"/>
        </x:is>
      </x:c>
      <x:c r="O182" s="3" t="inlineStr">
        <x:is>
          <x:t xml:space="preserve"/>
        </x:is>
      </x:c>
      <x:c r="P182" s="26" t="str">
        <x:v>comercial@gaxetas.com.br</x:v>
      </x:c>
      <x:c r="Q182" s="3" t="inlineStr">
        <x:is>
          <x:t xml:space="preserve"/>
        </x:is>
      </x:c>
      <x:c r="R182" s="5" t="n"/>
      <x:c r="S182" s="3" t="inlineStr">
        <x:is>
          <x:t xml:space="preserve"/>
        </x:is>
      </x:c>
      <x:c r="T182" s="3" t="inlineStr">
        <x:is>
          <x:t xml:space="preserve"/>
        </x:is>
      </x:c>
      <x:c r="U182" s="26" t="str">
        <x:v>https://gaxetas.com.br/sobre-nos/</x:v>
      </x:c>
    </x:row>
    <x:row r="183">
      <x:c r="A183" s="2" t="n">
        <x:v>182</x:v>
      </x:c>
      <x:c r="B183" s="3" t="inlineStr">
        <x:is>
          <x:t xml:space="preserve">Metalring</x:t>
        </x:is>
      </x:c>
      <x:c r="C183" s="3" t="inlineStr">
        <x:is>
          <x:t xml:space="preserve">Distribuidor AGEL/APC</x:t>
        </x:is>
      </x:c>
      <x:c r="D183" s="3" t="inlineStr">
        <x:is>
          <x:t xml:space="preserve">Porto Alegre</x:t>
        </x:is>
      </x:c>
      <x:c r="E183" s="2" t="inlineStr">
        <x:is>
          <x:t xml:space="preserve">RS</x:t>
        </x:is>
      </x:c>
      <x:c r="F183" s="2" t="inlineStr">
        <x:is>
          <x:t xml:space="preserve">Sul</x:t>
        </x:is>
      </x:c>
      <x:c r="G183" s="3" t="inlineStr">
        <x:is>
          <x:t xml:space="preserve"/>
        </x:is>
      </x:c>
      <x:c r="H183" s="3" t="inlineStr">
        <x:is>
          <x:t xml:space="preserve">Sede própria + CD no Vale do Itajaí/SC</x:t>
        </x:is>
      </x:c>
      <x:c r="I183" s="4" t="n"/>
      <x:c r="J183" s="2" t="n"/>
      <x:c r="K183" s="2" t="str">
        <x:f>IF(OR(I183="",J183=""),"",IFERROR(ROUND(I183*LN(J183+1),1),""))</x:f>
      </x:c>
      <x:c r="L183" s="2" t="str">
        <x:f>IF(K183="","Sem dados - qualificar",IF(K183&gt;=15,"A - Alta",IF(K183&gt;=8,"B - Média","C - Baixa")))</x:f>
        <x:v>Sem dados - qualificar</x:v>
      </x:c>
      <x:c r="M183" s="2" t="inlineStr">
        <x:is>
          <x:t xml:space="preserve">Não contatado</x:t>
        </x:is>
      </x:c>
      <x:c r="N183" s="3" t="inlineStr">
        <x:is>
          <x:t xml:space="preserve"/>
        </x:is>
      </x:c>
      <x:c r="O183" s="3" t="inlineStr">
        <x:is>
          <x:t xml:space="preserve"/>
        </x:is>
      </x:c>
      <x:c r="P183" s="26" t="str"/>
      <x:c r="Q183" s="3" t="inlineStr">
        <x:is>
          <x:t xml:space="preserve">(51) 99361-0410</x:t>
        </x:is>
      </x:c>
      <x:c r="R183" s="5" t="n"/>
      <x:c r="S183" s="3" t="inlineStr">
        <x:is>
          <x:t xml:space="preserve"/>
        </x:is>
      </x:c>
      <x:c r="T183" s="3" t="inlineStr">
        <x:is>
          <x:t xml:space="preserve"/>
        </x:is>
      </x:c>
      <x:c r="U183" s="26" t="str">
        <x:v>Não localizado em fonte pública confiável até 24/07/2026</x:v>
      </x:c>
    </x:row>
    <x:row r="184">
      <x:c r="A184" s="2" t="n">
        <x:v>183</x:v>
      </x:c>
      <x:c r="B184" s="3" t="inlineStr">
        <x:is>
          <x:t xml:space="preserve">Porto Vedações</x:t>
        </x:is>
      </x:c>
      <x:c r="C184" s="3" t="inlineStr">
        <x:is>
          <x:t xml:space="preserve">Distribuidor Vedabrás/Joinseal</x:t>
        </x:is>
      </x:c>
      <x:c r="D184" s="3" t="inlineStr">
        <x:is>
          <x:t xml:space="preserve">Porto Alegre</x:t>
        </x:is>
      </x:c>
      <x:c r="E184" s="2" t="inlineStr">
        <x:is>
          <x:t xml:space="preserve">RS</x:t>
        </x:is>
      </x:c>
      <x:c r="F184" s="2" t="inlineStr">
        <x:is>
          <x:t xml:space="preserve">Sul</x:t>
        </x:is>
      </x:c>
      <x:c r="G184" s="3" t="inlineStr">
        <x:is>
          <x:t xml:space="preserve">+55 51 2312-6177</x:t>
        </x:is>
      </x:c>
      <x:c r="H184" s="3" t="inlineStr">
        <x:is>
          <x:t xml:space="preserve">Cliente Parts Seals - site NFC</x:t>
        </x:is>
      </x:c>
      <x:c r="I184" s="4" t="n"/>
      <x:c r="J184" s="2" t="n"/>
      <x:c r="K184" s="2" t="str">
        <x:f>IF(OR(I184="",J184=""),"",IFERROR(ROUND(I184*LN(J184+1),1),""))</x:f>
      </x:c>
      <x:c r="L184" s="2" t="str">
        <x:f>IF(K184="","Sem dados - qualificar",IF(K184&gt;=15,"A - Alta",IF(K184&gt;=8,"B - Média","C - Baixa")))</x:f>
        <x:v>Sem dados - qualificar</x:v>
      </x:c>
      <x:c r="M184" s="2" t="inlineStr">
        <x:is>
          <x:t xml:space="preserve">Não contatado</x:t>
        </x:is>
      </x:c>
      <x:c r="N184" s="3" t="inlineStr">
        <x:is>
          <x:t xml:space="preserve"/>
        </x:is>
      </x:c>
      <x:c r="O184" s="3" t="inlineStr">
        <x:is>
          <x:t xml:space="preserve"/>
        </x:is>
      </x:c>
      <x:c r="P184" s="26" t="str"/>
      <x:c r="Q184" s="3" t="inlineStr">
        <x:is>
          <x:t xml:space="preserve">(51) 98483-9981</x:t>
        </x:is>
      </x:c>
      <x:c r="R184" s="5" t="n"/>
      <x:c r="S184" s="3" t="inlineStr">
        <x:is>
          <x:t xml:space="preserve"/>
        </x:is>
      </x:c>
      <x:c r="T184" s="3" t="inlineStr">
        <x:is>
          <x:t xml:space="preserve"/>
        </x:is>
      </x:c>
      <x:c r="U184" s="26" t="str">
        <x:v>Não localizado em fonte pública confiável até 24/07/2026</x:v>
      </x:c>
    </x:row>
    <x:row r="185">
      <x:c r="A185" s="2" t="n">
        <x:v>184</x:v>
      </x:c>
      <x:c r="B185" s="3" t="inlineStr">
        <x:is>
          <x:t xml:space="preserve">RSSEAL Vedações</x:t>
        </x:is>
      </x:c>
      <x:c r="C185" s="3" t="inlineStr">
        <x:is>
          <x:t xml:space="preserve">Fabricante/Vedações</x:t>
        </x:is>
      </x:c>
      <x:c r="D185" s="3" t="inlineStr">
        <x:is>
          <x:t xml:space="preserve">Porto Alegre</x:t>
        </x:is>
      </x:c>
      <x:c r="E185" s="2" t="inlineStr">
        <x:is>
          <x:t xml:space="preserve">RS</x:t>
        </x:is>
      </x:c>
      <x:c r="F185" s="2" t="inlineStr">
        <x:is>
          <x:t xml:space="preserve">Sul</x:t>
        </x:is>
      </x:c>
      <x:c r="G185" s="3" t="inlineStr">
        <x:is>
          <x:t xml:space="preserve">+55 51 2312-4591</x:t>
        </x:is>
      </x:c>
      <x:c r="H185" s="3" t="inlineStr">
        <x:is>
          <x:t xml:space="preserve">R. Comendador Duval, 381 - Jd. Floresta</x:t>
        </x:is>
      </x:c>
      <x:c r="I185" s="4" t="n">
        <x:v>4.9</x:v>
      </x:c>
      <x:c r="J185" s="2" t="n">
        <x:v>33</x:v>
      </x:c>
      <x:c r="K185" s="2" t="n">
        <x:f>IF(OR(I185="",J185=""),"",IFERROR(ROUND(I185*LN(J185+1),1),""))</x:f>
        <x:v>17.3</x:v>
      </x:c>
      <x:c r="L185" s="2" t="str">
        <x:f>IF(K185="","Sem dados - qualificar",IF(K185&gt;=15,"A - Alta",IF(K185&gt;=8,"B - Média","C - Baixa")))</x:f>
        <x:v>A - Alta</x:v>
      </x:c>
      <x:c r="M185" s="2" t="inlineStr">
        <x:is>
          <x:t xml:space="preserve">Não contatado</x:t>
        </x:is>
      </x:c>
      <x:c r="N185" s="3" t="inlineStr">
        <x:is>
          <x:t xml:space="preserve"/>
        </x:is>
      </x:c>
      <x:c r="O185" s="3" t="inlineStr">
        <x:is>
          <x:t xml:space="preserve"/>
        </x:is>
      </x:c>
      <x:c r="P185" s="26" t="str">
        <x:v>vendas1@rssealvedacoes.com.br</x:v>
      </x:c>
      <x:c r="Q185" s="3" t="inlineStr">
        <x:is>
          <x:t xml:space="preserve"/>
        </x:is>
      </x:c>
      <x:c r="R185" s="5" t="n"/>
      <x:c r="S185" s="3" t="inlineStr">
        <x:is>
          <x:t xml:space="preserve"/>
        </x:is>
      </x:c>
      <x:c r="T185" s="3" t="inlineStr">
        <x:is>
          <x:t xml:space="preserve"/>
        </x:is>
      </x:c>
      <x:c r="U185" s="26" t="str">
        <x:v>https://rssealvedacoes.com.br/</x:v>
      </x:c>
    </x:row>
    <x:row r="186">
      <x:c r="A186" s="2" t="n">
        <x:v>185</x:v>
      </x:c>
      <x:c r="B186" s="3" t="inlineStr">
        <x:is>
          <x:t xml:space="preserve">Veda Fix</x:t>
        </x:is>
      </x:c>
      <x:c r="C186" s="3" t="inlineStr">
        <x:is>
          <x:t xml:space="preserve">Vedações</x:t>
        </x:is>
      </x:c>
      <x:c r="D186" s="3" t="inlineStr">
        <x:is>
          <x:t xml:space="preserve">Porto Alegre</x:t>
        </x:is>
      </x:c>
      <x:c r="E186" s="2" t="inlineStr">
        <x:is>
          <x:t xml:space="preserve">RS</x:t>
        </x:is>
      </x:c>
      <x:c r="F186" s="2" t="inlineStr">
        <x:is>
          <x:t xml:space="preserve">Sul</x:t>
        </x:is>
      </x:c>
      <x:c r="G186" s="3" t="inlineStr">
        <x:is>
          <x:t xml:space="preserve">+55 51 3343-2701</x:t>
        </x:is>
      </x:c>
      <x:c r="H186" s="3" t="inlineStr">
        <x:is>
          <x:t xml:space="preserve">Rua Pereira Franco, 402 - São João</x:t>
        </x:is>
      </x:c>
      <x:c r="I186" s="4" t="n">
        <x:v>4.5</x:v>
      </x:c>
      <x:c r="J186" s="2" t="n">
        <x:v>48</x:v>
      </x:c>
      <x:c r="K186" s="2" t="n">
        <x:f>IF(OR(I186="",J186=""),"",IFERROR(ROUND(I186*LN(J186+1),1),""))</x:f>
        <x:v>17.5</x:v>
      </x:c>
      <x:c r="L186" s="2" t="str">
        <x:f>IF(K186="","Sem dados - qualificar",IF(K186&gt;=15,"A - Alta",IF(K186&gt;=8,"B - Média","C - Baixa")))</x:f>
        <x:v>A - Alta</x:v>
      </x:c>
      <x:c r="M186" s="2" t="inlineStr">
        <x:is>
          <x:t xml:space="preserve">Não contatado</x:t>
        </x:is>
      </x:c>
      <x:c r="N186" s="3" t="inlineStr">
        <x:is>
          <x:t xml:space="preserve"/>
        </x:is>
      </x:c>
      <x:c r="O186" s="3" t="inlineStr">
        <x:is>
          <x:t xml:space="preserve"/>
        </x:is>
      </x:c>
      <x:c r="P186" s="26" t="str">
        <x:v>vedafix@terra.com.br</x:v>
      </x:c>
      <x:c r="Q186" s="3" t="inlineStr">
        <x:is>
          <x:t xml:space="preserve"/>
        </x:is>
      </x:c>
      <x:c r="R186" s="5" t="n"/>
      <x:c r="S186" s="3" t="inlineStr">
        <x:is>
          <x:t xml:space="preserve"/>
        </x:is>
      </x:c>
      <x:c r="T186" s="3" t="inlineStr">
        <x:is>
          <x:t xml:space="preserve"/>
        </x:is>
      </x:c>
      <x:c r="U186" s="26" t="str">
        <x:v>https://carabinasdear.com.br/caforum/index.php?/topic/530-órings/</x:v>
      </x:c>
    </x:row>
    <x:row r="187">
      <x:c r="A187" s="2" t="n">
        <x:v>186</x:v>
      </x:c>
      <x:c r="B187" s="3" t="inlineStr">
        <x:is>
          <x:t xml:space="preserve">Vedasul Vedações Industriais</x:t>
        </x:is>
      </x:c>
      <x:c r="C187" s="3" t="inlineStr">
        <x:is>
          <x:t xml:space="preserve">Vedações</x:t>
        </x:is>
      </x:c>
      <x:c r="D187" s="3" t="inlineStr">
        <x:is>
          <x:t xml:space="preserve">Porto Alegre</x:t>
        </x:is>
      </x:c>
      <x:c r="E187" s="2" t="inlineStr">
        <x:is>
          <x:t xml:space="preserve">RS</x:t>
        </x:is>
      </x:c>
      <x:c r="F187" s="2" t="inlineStr">
        <x:is>
          <x:t xml:space="preserve">Sul</x:t>
        </x:is>
      </x:c>
      <x:c r="G187" s="3" t="inlineStr">
        <x:is>
          <x:t xml:space="preserve">+55 51 3342-8542</x:t>
        </x:is>
      </x:c>
      <x:c r="H187" s="3" t="inlineStr">
        <x:is>
          <x:t xml:space="preserve">Av. Polônia, 292 - São Geraldo</x:t>
        </x:is>
      </x:c>
      <x:c r="I187" s="4" t="n">
        <x:v>4.6</x:v>
      </x:c>
      <x:c r="J187" s="2" t="n">
        <x:v>10</x:v>
      </x:c>
      <x:c r="K187" s="2" t="n">
        <x:f>IF(OR(I187="",J187=""),"",IFERROR(ROUND(I187*LN(J187+1),1),""))</x:f>
        <x:v>11</x:v>
      </x:c>
      <x:c r="L187" s="2" t="str">
        <x:f>IF(K187="","Sem dados - qualificar",IF(K187&gt;=15,"A - Alta",IF(K187&gt;=8,"B - Média","C - Baixa")))</x:f>
        <x:v>B - Média</x:v>
      </x:c>
      <x:c r="M187" s="2" t="inlineStr">
        <x:is>
          <x:t xml:space="preserve">Não contatado</x:t>
        </x:is>
      </x:c>
      <x:c r="N187" s="3" t="inlineStr">
        <x:is>
          <x:t xml:space="preserve"/>
        </x:is>
      </x:c>
      <x:c r="O187" s="3" t="inlineStr">
        <x:is>
          <x:t xml:space="preserve"/>
        </x:is>
      </x:c>
      <x:c r="P187" s="26" t="str"/>
      <x:c r="Q187" s="3" t="inlineStr">
        <x:is>
          <x:t xml:space="preserve"/>
        </x:is>
      </x:c>
      <x:c r="R187" s="5" t="n"/>
      <x:c r="S187" s="3" t="inlineStr">
        <x:is>
          <x:t xml:space="preserve"/>
        </x:is>
      </x:c>
      <x:c r="T187" s="3" t="inlineStr">
        <x:is>
          <x:t xml:space="preserve"/>
        </x:is>
      </x:c>
      <x:c r="U187" s="26" t="str">
        <x:v>Não localizado em fonte pública confiável até 24/07/2026</x:v>
      </x:c>
    </x:row>
    <x:row r="188">
      <x:c r="A188" s="2" t="n">
        <x:v>187</x:v>
      </x:c>
      <x:c r="B188" s="3" t="inlineStr">
        <x:is>
          <x:t xml:space="preserve">Amorim Vedações</x:t>
        </x:is>
      </x:c>
      <x:c r="C188" s="3" t="inlineStr">
        <x:is>
          <x:t xml:space="preserve">Vedações</x:t>
        </x:is>
      </x:c>
      <x:c r="D188" s="3" t="inlineStr">
        <x:is>
          <x:t xml:space="preserve">Blumenau</x:t>
        </x:is>
      </x:c>
      <x:c r="E188" s="2" t="inlineStr">
        <x:is>
          <x:t xml:space="preserve">SC</x:t>
        </x:is>
      </x:c>
      <x:c r="F188" s="2" t="inlineStr">
        <x:is>
          <x:t xml:space="preserve">Sul</x:t>
        </x:is>
      </x:c>
      <x:c r="G188" s="3" t="inlineStr">
        <x:is>
          <x:t xml:space="preserve">+55 47 3340-5555</x:t>
        </x:is>
      </x:c>
      <x:c r="H188" s="3" t="inlineStr">
        <x:is>
          <x:t xml:space="preserve">R. Dr. Osvaldo N. Espíndola, 44 - Vorstadt</x:t>
        </x:is>
      </x:c>
      <x:c r="I188" s="4" t="n">
        <x:v>4.2</x:v>
      </x:c>
      <x:c r="J188" s="2" t="n">
        <x:v>5</x:v>
      </x:c>
      <x:c r="K188" s="2" t="n">
        <x:f>IF(OR(I188="",J188=""),"",IFERROR(ROUND(I188*LN(J188+1),1),""))</x:f>
        <x:v>7.5</x:v>
      </x:c>
      <x:c r="L188" s="2" t="str">
        <x:f>IF(K188="","Sem dados - qualificar",IF(K188&gt;=15,"A - Alta",IF(K188&gt;=8,"B - Média","C - Baixa")))</x:f>
        <x:v>C - Baixa</x:v>
      </x:c>
      <x:c r="M188" s="2" t="inlineStr">
        <x:is>
          <x:t xml:space="preserve">Não contatado</x:t>
        </x:is>
      </x:c>
      <x:c r="N188" s="3" t="inlineStr">
        <x:is>
          <x:t xml:space="preserve"/>
        </x:is>
      </x:c>
      <x:c r="O188" s="3" t="inlineStr">
        <x:is>
          <x:t xml:space="preserve"/>
        </x:is>
      </x:c>
      <x:c r="P188" s="26" t="str"/>
      <x:c r="Q188" s="3" t="inlineStr">
        <x:is>
          <x:t xml:space="preserve"/>
        </x:is>
      </x:c>
      <x:c r="R188" s="5" t="n"/>
      <x:c r="S188" s="3" t="inlineStr">
        <x:is>
          <x:t xml:space="preserve"/>
        </x:is>
      </x:c>
      <x:c r="T188" s="3" t="inlineStr">
        <x:is>
          <x:t xml:space="preserve"/>
        </x:is>
      </x:c>
      <x:c r="U188" s="26" t="str">
        <x:v>Não localizado em fonte pública confiável até 24/07/2026</x:v>
      </x:c>
    </x:row>
    <x:row r="189">
      <x:c r="A189" s="2" t="n">
        <x:v>188</x:v>
      </x:c>
      <x:c r="B189" s="3" t="inlineStr">
        <x:is>
          <x:t xml:space="preserve">SmierVeda Blumenau</x:t>
        </x:is>
      </x:c>
      <x:c r="C189" s="3" t="inlineStr">
        <x:is>
          <x:t xml:space="preserve">Vedações</x:t>
        </x:is>
      </x:c>
      <x:c r="D189" s="3" t="inlineStr">
        <x:is>
          <x:t xml:space="preserve">Blumenau</x:t>
        </x:is>
      </x:c>
      <x:c r="E189" s="2" t="inlineStr">
        <x:is>
          <x:t xml:space="preserve">SC</x:t>
        </x:is>
      </x:c>
      <x:c r="F189" s="2" t="inlineStr">
        <x:is>
          <x:t xml:space="preserve">Sul</x:t>
        </x:is>
      </x:c>
      <x:c r="G189" s="3" t="inlineStr">
        <x:is>
          <x:t xml:space="preserve">+55 47 3037-4545</x:t>
        </x:is>
      </x:c>
      <x:c r="H189" s="3" t="inlineStr">
        <x:is>
          <x:t xml:space="preserve">R. Eng. Udo Deeke, 925 - Salto Norte</x:t>
        </x:is>
      </x:c>
      <x:c r="I189" s="4" t="n">
        <x:v>4.6</x:v>
      </x:c>
      <x:c r="J189" s="2" t="n">
        <x:v>159</x:v>
      </x:c>
      <x:c r="K189" s="2" t="n">
        <x:f>IF(OR(I189="",J189=""),"",IFERROR(ROUND(I189*LN(J189+1),1),""))</x:f>
        <x:v>23.3</x:v>
      </x:c>
      <x:c r="L189" s="2" t="str">
        <x:f>IF(K189="","Sem dados - qualificar",IF(K189&gt;=15,"A - Alta",IF(K189&gt;=8,"B - Média","C - Baixa")))</x:f>
        <x:v>A - Alta</x:v>
      </x:c>
      <x:c r="M189" s="2" t="inlineStr">
        <x:is>
          <x:t xml:space="preserve">Não contatado</x:t>
        </x:is>
      </x:c>
      <x:c r="N189" s="3" t="inlineStr">
        <x:is>
          <x:t xml:space="preserve"/>
        </x:is>
      </x:c>
      <x:c r="O189" s="3" t="inlineStr">
        <x:is>
          <x:t xml:space="preserve"/>
        </x:is>
      </x:c>
      <x:c r="P189" s="26" t="str">
        <x:v>smierveda@smierveda.com.br</x:v>
      </x:c>
      <x:c r="Q189" s="3" t="inlineStr">
        <x:is>
          <x:t xml:space="preserve"/>
        </x:is>
      </x:c>
      <x:c r="R189" s="5" t="n"/>
      <x:c r="S189" s="3" t="inlineStr">
        <x:is>
          <x:t xml:space="preserve"/>
        </x:is>
      </x:c>
      <x:c r="T189" s="3" t="inlineStr">
        <x:is>
          <x:t xml:space="preserve"/>
        </x:is>
      </x:c>
      <x:c r="U189" s="26" t="str">
        <x:v>https://www.smierveda.com.br/fale-conosco/</x:v>
      </x:c>
    </x:row>
    <x:row r="190">
      <x:c r="A190" s="2" t="n">
        <x:v>189</x:v>
      </x:c>
      <x:c r="B190" s="3" t="inlineStr">
        <x:is>
          <x:t xml:space="preserve">Vedafer Comércio de Vedações</x:t>
        </x:is>
      </x:c>
      <x:c r="C190" s="3" t="inlineStr">
        <x:is>
          <x:t xml:space="preserve">Vedações</x:t>
        </x:is>
      </x:c>
      <x:c r="D190" s="3" t="inlineStr">
        <x:is>
          <x:t xml:space="preserve">Blumenau</x:t>
        </x:is>
      </x:c>
      <x:c r="E190" s="2" t="inlineStr">
        <x:is>
          <x:t xml:space="preserve">SC</x:t>
        </x:is>
      </x:c>
      <x:c r="F190" s="2" t="inlineStr">
        <x:is>
          <x:t xml:space="preserve">Sul</x:t>
        </x:is>
      </x:c>
      <x:c r="G190" s="3" t="inlineStr">
        <x:is>
          <x:t xml:space="preserve">+55 47 3326-5252</x:t>
        </x:is>
      </x:c>
      <x:c r="H190" s="3" t="inlineStr">
        <x:is>
          <x:t xml:space="preserve">R. Mal. Deodoro, 830 - Velha</x:t>
        </x:is>
      </x:c>
      <x:c r="I190" s="4" t="n">
        <x:v>3</x:v>
      </x:c>
      <x:c r="J190" s="2" t="n">
        <x:v>4</x:v>
      </x:c>
      <x:c r="K190" s="2" t="n">
        <x:f>IF(OR(I190="",J190=""),"",IFERROR(ROUND(I190*LN(J190+1),1),""))</x:f>
        <x:v>4.8</x:v>
      </x:c>
      <x:c r="L190" s="2" t="str">
        <x:f>IF(K190="","Sem dados - qualificar",IF(K190&gt;=15,"A - Alta",IF(K190&gt;=8,"B - Média","C - Baixa")))</x:f>
        <x:v>C - Baixa</x:v>
      </x:c>
      <x:c r="M190" s="2" t="inlineStr">
        <x:is>
          <x:t xml:space="preserve">Não contatado</x:t>
        </x:is>
      </x:c>
      <x:c r="N190" s="3" t="inlineStr">
        <x:is>
          <x:t xml:space="preserve"/>
        </x:is>
      </x:c>
      <x:c r="O190" s="3" t="inlineStr">
        <x:is>
          <x:t xml:space="preserve"/>
        </x:is>
      </x:c>
      <x:c r="P190" s="26" t="str"/>
      <x:c r="Q190" s="3" t="inlineStr">
        <x:is>
          <x:t xml:space="preserve"/>
        </x:is>
      </x:c>
      <x:c r="R190" s="5" t="n"/>
      <x:c r="S190" s="3" t="inlineStr">
        <x:is>
          <x:t xml:space="preserve"/>
        </x:is>
      </x:c>
      <x:c r="T190" s="3" t="inlineStr">
        <x:is>
          <x:t xml:space="preserve"/>
        </x:is>
      </x:c>
      <x:c r="U190" s="26" t="str">
        <x:v>Não localizado em fonte pública confiável até 24/07/2026</x:v>
      </x:c>
    </x:row>
    <x:row r="191">
      <x:c r="A191" s="2" t="n">
        <x:v>190</x:v>
      </x:c>
      <x:c r="B191" s="3" t="inlineStr">
        <x:is>
          <x:t xml:space="preserve">Vedax Comercial</x:t>
        </x:is>
      </x:c>
      <x:c r="C191" s="3" t="inlineStr">
        <x:is>
          <x:t xml:space="preserve">Juntas/Vedações</x:t>
        </x:is>
      </x:c>
      <x:c r="D191" s="3" t="inlineStr">
        <x:is>
          <x:t xml:space="preserve">Blumenau</x:t>
        </x:is>
      </x:c>
      <x:c r="E191" s="2" t="inlineStr">
        <x:is>
          <x:t xml:space="preserve">SC</x:t>
        </x:is>
      </x:c>
      <x:c r="F191" s="2" t="inlineStr">
        <x:is>
          <x:t xml:space="preserve">Sul</x:t>
        </x:is>
      </x:c>
      <x:c r="G191" s="3" t="inlineStr">
        <x:is>
          <x:t xml:space="preserve">+55 47 3144-6927</x:t>
        </x:is>
      </x:c>
      <x:c r="H191" s="3" t="inlineStr">
        <x:is>
          <x:t xml:space="preserve">R. Dr. Pedro Zimmermann, 4851 - Itoupava Central</x:t>
        </x:is>
      </x:c>
      <x:c r="I191" s="4" t="n">
        <x:v>4.5</x:v>
      </x:c>
      <x:c r="J191" s="2" t="n">
        <x:v>62</x:v>
      </x:c>
      <x:c r="K191" s="2" t="n">
        <x:f>IF(OR(I191="",J191=""),"",IFERROR(ROUND(I191*LN(J191+1),1),""))</x:f>
        <x:v>18.6</x:v>
      </x:c>
      <x:c r="L191" s="2" t="str">
        <x:f>IF(K191="","Sem dados - qualificar",IF(K191&gt;=15,"A - Alta",IF(K191&gt;=8,"B - Média","C - Baixa")))</x:f>
        <x:v>A - Alta</x:v>
      </x:c>
      <x:c r="M191" s="2" t="inlineStr">
        <x:is>
          <x:t xml:space="preserve">Não contatado</x:t>
        </x:is>
      </x:c>
      <x:c r="N191" s="3" t="inlineStr">
        <x:is>
          <x:t xml:space="preserve"/>
        </x:is>
      </x:c>
      <x:c r="O191" s="3" t="inlineStr">
        <x:is>
          <x:t xml:space="preserve"/>
        </x:is>
      </x:c>
      <x:c r="P191" s="26" t="str"/>
      <x:c r="Q191" s="3" t="inlineStr">
        <x:is>
          <x:t xml:space="preserve"/>
        </x:is>
      </x:c>
      <x:c r="R191" s="5" t="n"/>
      <x:c r="S191" s="3" t="inlineStr">
        <x:is>
          <x:t xml:space="preserve"/>
        </x:is>
      </x:c>
      <x:c r="T191" s="3" t="inlineStr">
        <x:is>
          <x:t xml:space="preserve"/>
        </x:is>
      </x:c>
      <x:c r="U191" s="26" t="str">
        <x:v>Não localizado em fonte pública confiável até 24/07/2026</x:v>
      </x:c>
    </x:row>
    <x:row r="192">
      <x:c r="A192" s="2" t="n">
        <x:v>191</x:v>
      </x:c>
      <x:c r="B192" s="3" t="inlineStr">
        <x:is>
          <x:t xml:space="preserve">Hydral Sistemas Óleo Hidráulicos</x:t>
        </x:is>
      </x:c>
      <x:c r="C192" s="3" t="inlineStr">
        <x:is>
          <x:t xml:space="preserve">Hidráulica</x:t>
        </x:is>
      </x:c>
      <x:c r="D192" s="3" t="inlineStr">
        <x:is>
          <x:t xml:space="preserve">Chapecó</x:t>
        </x:is>
      </x:c>
      <x:c r="E192" s="2" t="inlineStr">
        <x:is>
          <x:t xml:space="preserve">SC</x:t>
        </x:is>
      </x:c>
      <x:c r="F192" s="2" t="inlineStr">
        <x:is>
          <x:t xml:space="preserve">Sul</x:t>
        </x:is>
      </x:c>
      <x:c r="G192" s="3" t="inlineStr">
        <x:is>
          <x:t xml:space="preserve">+55 49 3329-2062</x:t>
        </x:is>
      </x:c>
      <x:c r="H192" s="3" t="inlineStr">
        <x:is>
          <x:t xml:space="preserve">Av. São Pedro D, 1770 - Pinheirinho</x:t>
        </x:is>
      </x:c>
      <x:c r="I192" s="4" t="n"/>
      <x:c r="J192" s="2" t="n"/>
      <x:c r="K192" s="2" t="str">
        <x:f>IF(OR(I192="",J192=""),"",IFERROR(ROUND(I192*LN(J192+1),1),""))</x:f>
      </x:c>
      <x:c r="L192" s="2" t="str">
        <x:f>IF(K192="","Sem dados - qualificar",IF(K192&gt;=15,"A - Alta",IF(K192&gt;=8,"B - Média","C - Baixa")))</x:f>
        <x:v>Sem dados - qualificar</x:v>
      </x:c>
      <x:c r="M192" s="2" t="inlineStr">
        <x:is>
          <x:t xml:space="preserve">Não contatado</x:t>
        </x:is>
      </x:c>
      <x:c r="N192" s="3" t="inlineStr">
        <x:is>
          <x:t xml:space="preserve"/>
        </x:is>
      </x:c>
      <x:c r="O192" s="3" t="inlineStr">
        <x:is>
          <x:t xml:space="preserve"/>
        </x:is>
      </x:c>
      <x:c r="P192" s="26" t="str"/>
      <x:c r="Q192" s="3" t="inlineStr">
        <x:is>
          <x:t xml:space="preserve"/>
        </x:is>
      </x:c>
      <x:c r="R192" s="5" t="n"/>
      <x:c r="S192" s="3" t="inlineStr">
        <x:is>
          <x:t xml:space="preserve"/>
        </x:is>
      </x:c>
      <x:c r="T192" s="3" t="inlineStr">
        <x:is>
          <x:t xml:space="preserve"/>
        </x:is>
      </x:c>
      <x:c r="U192" s="26" t="str">
        <x:v>Não localizado em fonte pública confiável até 24/07/2026</x:v>
      </x:c>
    </x:row>
    <x:row r="193">
      <x:c r="A193" s="2" t="n">
        <x:v>192</x:v>
      </x:c>
      <x:c r="B193" s="3" t="inlineStr">
        <x:is>
          <x:t xml:space="preserve">Mang Vedações</x:t>
        </x:is>
      </x:c>
      <x:c r="C193" s="3" t="inlineStr">
        <x:is>
          <x:t xml:space="preserve">Hidráulica/Vedações</x:t>
        </x:is>
      </x:c>
      <x:c r="D193" s="3" t="inlineStr">
        <x:is>
          <x:t xml:space="preserve">Chapecó</x:t>
        </x:is>
      </x:c>
      <x:c r="E193" s="2" t="inlineStr">
        <x:is>
          <x:t xml:space="preserve">SC</x:t>
        </x:is>
      </x:c>
      <x:c r="F193" s="2" t="inlineStr">
        <x:is>
          <x:t xml:space="preserve">Sul</x:t>
        </x:is>
      </x:c>
      <x:c r="G193" s="3" t="inlineStr">
        <x:is>
          <x:t xml:space="preserve">+55 49 3323-5634</x:t>
        </x:is>
      </x:c>
      <x:c r="H193" s="3" t="inlineStr">
        <x:is>
          <x:t xml:space="preserve">Av. São Pedro, 401 E - Centro</x:t>
        </x:is>
      </x:c>
      <x:c r="I193" s="4" t="n">
        <x:v>4.8</x:v>
      </x:c>
      <x:c r="J193" s="2" t="n">
        <x:v>22</x:v>
      </x:c>
      <x:c r="K193" s="2" t="n">
        <x:f>IF(OR(I193="",J193=""),"",IFERROR(ROUND(I193*LN(J193+1),1),""))</x:f>
        <x:v>15.1</x:v>
      </x:c>
      <x:c r="L193" s="2" t="str">
        <x:f>IF(K193="","Sem dados - qualificar",IF(K193&gt;=15,"A - Alta",IF(K193&gt;=8,"B - Média","C - Baixa")))</x:f>
        <x:v>A - Alta</x:v>
      </x:c>
      <x:c r="M193" s="2" t="inlineStr">
        <x:is>
          <x:t xml:space="preserve">Não contatado</x:t>
        </x:is>
      </x:c>
      <x:c r="N193" s="3" t="inlineStr">
        <x:is>
          <x:t xml:space="preserve"/>
        </x:is>
      </x:c>
      <x:c r="O193" s="3" t="inlineStr">
        <x:is>
          <x:t xml:space="preserve"/>
        </x:is>
      </x:c>
      <x:c r="P193" s="26" t="str">
        <x:v>financeiro@mangvedacoes.com.br</x:v>
      </x:c>
      <x:c r="Q193" s="3" t="inlineStr">
        <x:is>
          <x:t xml:space="preserve"/>
        </x:is>
      </x:c>
      <x:c r="R193" s="5" t="n"/>
      <x:c r="S193" s="3" t="inlineStr">
        <x:is>
          <x:t xml:space="preserve"/>
        </x:is>
      </x:c>
      <x:c r="T193" s="3" t="inlineStr">
        <x:is>
          <x:t xml:space="preserve"/>
        </x:is>
      </x:c>
      <x:c r="U193" s="26" t="str">
        <x:v>https://cnpj.info/Mangvedacoes-Mangueiras-e-Vedacoes-Hidraulicas-e-Pneumaticas-Mangvedacoes-Hidraulica-e-Pneumatica</x:v>
      </x:c>
    </x:row>
    <x:row r="194">
      <x:c r="A194" s="2" t="n">
        <x:v>193</x:v>
      </x:c>
      <x:c r="B194" s="3" t="inlineStr">
        <x:is>
          <x:t xml:space="preserve">Itaved Itajaí Vedação</x:t>
        </x:is>
      </x:c>
      <x:c r="C194" s="3" t="inlineStr">
        <x:is>
          <x:t xml:space="preserve">Vedações</x:t>
        </x:is>
      </x:c>
      <x:c r="D194" s="3" t="inlineStr">
        <x:is>
          <x:t xml:space="preserve">Itajaí</x:t>
        </x:is>
      </x:c>
      <x:c r="E194" s="2" t="inlineStr">
        <x:is>
          <x:t xml:space="preserve">SC</x:t>
        </x:is>
      </x:c>
      <x:c r="F194" s="2" t="inlineStr">
        <x:is>
          <x:t xml:space="preserve">Sul</x:t>
        </x:is>
      </x:c>
      <x:c r="G194" s="3" t="inlineStr">
        <x:is>
          <x:t xml:space="preserve">+55 47 3346-1619</x:t>
        </x:is>
      </x:c>
      <x:c r="H194" s="3" t="inlineStr">
        <x:is>
          <x:t xml:space="preserve">R. Alfredo Esser, 331 - Cordeiros</x:t>
        </x:is>
      </x:c>
      <x:c r="I194" s="4" t="n">
        <x:v>5</x:v>
      </x:c>
      <x:c r="J194" s="2" t="n">
        <x:v>25</x:v>
      </x:c>
      <x:c r="K194" s="2" t="n">
        <x:f>IF(OR(I194="",J194=""),"",IFERROR(ROUND(I194*LN(J194+1),1),""))</x:f>
        <x:v>16.3</x:v>
      </x:c>
      <x:c r="L194" s="2" t="str">
        <x:f>IF(K194="","Sem dados - qualificar",IF(K194&gt;=15,"A - Alta",IF(K194&gt;=8,"B - Média","C - Baixa")))</x:f>
        <x:v>A - Alta</x:v>
      </x:c>
      <x:c r="M194" s="2" t="inlineStr">
        <x:is>
          <x:t xml:space="preserve">Não contatado</x:t>
        </x:is>
      </x:c>
      <x:c r="N194" s="3" t="inlineStr">
        <x:is>
          <x:t xml:space="preserve"/>
        </x:is>
      </x:c>
      <x:c r="O194" s="3" t="inlineStr">
        <x:is>
          <x:t xml:space="preserve"/>
        </x:is>
      </x:c>
      <x:c r="P194" s="26" t="str"/>
      <x:c r="Q194" s="3" t="inlineStr">
        <x:is>
          <x:t xml:space="preserve"/>
        </x:is>
      </x:c>
      <x:c r="R194" s="5" t="n"/>
      <x:c r="S194" s="3" t="inlineStr">
        <x:is>
          <x:t xml:space="preserve"/>
        </x:is>
      </x:c>
      <x:c r="T194" s="3" t="inlineStr">
        <x:is>
          <x:t xml:space="preserve"/>
        </x:is>
      </x:c>
      <x:c r="U194" s="26" t="str">
        <x:v>Não localizado em fonte pública confiável até 24/07/2026</x:v>
      </x:c>
    </x:row>
    <x:row r="195">
      <x:c r="A195" s="2" t="n">
        <x:v>194</x:v>
      </x:c>
      <x:c r="B195" s="3" t="inlineStr">
        <x:is>
          <x:t xml:space="preserve">Borville Vedações</x:t>
        </x:is>
      </x:c>
      <x:c r="C195" s="3" t="inlineStr">
        <x:is>
          <x:t xml:space="preserve">Vedações</x:t>
        </x:is>
      </x:c>
      <x:c r="D195" s="3" t="inlineStr">
        <x:is>
          <x:t xml:space="preserve">Joinville</x:t>
        </x:is>
      </x:c>
      <x:c r="E195" s="2" t="inlineStr">
        <x:is>
          <x:t xml:space="preserve">SC</x:t>
        </x:is>
      </x:c>
      <x:c r="F195" s="2" t="inlineStr">
        <x:is>
          <x:t xml:space="preserve">Sul</x:t>
        </x:is>
      </x:c>
      <x:c r="G195" s="3" t="inlineStr">
        <x:is>
          <x:t xml:space="preserve">+55 47 3473-6133</x:t>
        </x:is>
      </x:c>
      <x:c r="H195" s="3" t="inlineStr">
        <x:is>
          <x:t xml:space="preserve">R. Eugênio E. Kunde, 670 - Pirabeiraba</x:t>
        </x:is>
      </x:c>
      <x:c r="I195" s="4" t="n">
        <x:v>5</x:v>
      </x:c>
      <x:c r="J195" s="2" t="n">
        <x:v>9</x:v>
      </x:c>
      <x:c r="K195" s="2" t="n">
        <x:f>IF(OR(I195="",J195=""),"",IFERROR(ROUND(I195*LN(J195+1),1),""))</x:f>
        <x:v>11.5</x:v>
      </x:c>
      <x:c r="L195" s="2" t="str">
        <x:f>IF(K195="","Sem dados - qualificar",IF(K195&gt;=15,"A - Alta",IF(K195&gt;=8,"B - Média","C - Baixa")))</x:f>
        <x:v>B - Média</x:v>
      </x:c>
      <x:c r="M195" s="2" t="inlineStr">
        <x:is>
          <x:t xml:space="preserve">Não contatado</x:t>
        </x:is>
      </x:c>
      <x:c r="N195" s="3" t="inlineStr">
        <x:is>
          <x:t xml:space="preserve"/>
        </x:is>
      </x:c>
      <x:c r="O195" s="3" t="inlineStr">
        <x:is>
          <x:t xml:space="preserve"/>
        </x:is>
      </x:c>
      <x:c r="P195" s="26" t="str">
        <x:v>contato@borvillevedacoes.com.br</x:v>
      </x:c>
      <x:c r="Q195" s="3" t="inlineStr">
        <x:is>
          <x:t xml:space="preserve"/>
        </x:is>
      </x:c>
      <x:c r="R195" s="5" t="n"/>
      <x:c r="S195" s="3" t="inlineStr">
        <x:is>
          <x:t xml:space="preserve"/>
        </x:is>
      </x:c>
      <x:c r="T195" s="3" t="inlineStr">
        <x:is>
          <x:t xml:space="preserve"/>
        </x:is>
      </x:c>
      <x:c r="U195" s="26" t="str">
        <x:v>https://borvillevedacoes.com.br/</x:v>
      </x:c>
    </x:row>
    <x:row r="196">
      <x:c r="A196" s="2" t="n">
        <x:v>195</x:v>
      </x:c>
      <x:c r="B196" s="3" t="inlineStr">
        <x:is>
          <x:t xml:space="preserve">Hidramave Mangueiras e Vedações</x:t>
        </x:is>
      </x:c>
      <x:c r="C196" s="3" t="inlineStr">
        <x:is>
          <x:t xml:space="preserve">Hidráulica/Vedações</x:t>
        </x:is>
      </x:c>
      <x:c r="D196" s="3" t="inlineStr">
        <x:is>
          <x:t xml:space="preserve">Joinville</x:t>
        </x:is>
      </x:c>
      <x:c r="E196" s="2" t="inlineStr">
        <x:is>
          <x:t xml:space="preserve">SC</x:t>
        </x:is>
      </x:c>
      <x:c r="F196" s="2" t="inlineStr">
        <x:is>
          <x:t xml:space="preserve">Sul</x:t>
        </x:is>
      </x:c>
      <x:c r="G196" s="3" t="inlineStr">
        <x:is>
          <x:t xml:space="preserve">+55 47 3026-1929</x:t>
        </x:is>
      </x:c>
      <x:c r="H196" s="3" t="inlineStr">
        <x:is>
          <x:t xml:space="preserve">R. Dona Francisca, 5919 - DI</x:t>
        </x:is>
      </x:c>
      <x:c r="I196" s="4" t="n">
        <x:v>5</x:v>
      </x:c>
      <x:c r="J196" s="2" t="n">
        <x:v>27</x:v>
      </x:c>
      <x:c r="K196" s="2" t="n">
        <x:f>IF(OR(I196="",J196=""),"",IFERROR(ROUND(I196*LN(J196+1),1),""))</x:f>
        <x:v>16.7</x:v>
      </x:c>
      <x:c r="L196" s="2" t="str">
        <x:f>IF(K196="","Sem dados - qualificar",IF(K196&gt;=15,"A - Alta",IF(K196&gt;=8,"B - Média","C - Baixa")))</x:f>
        <x:v>A - Alta</x:v>
      </x:c>
      <x:c r="M196" s="2" t="inlineStr">
        <x:is>
          <x:t xml:space="preserve">Não contatado</x:t>
        </x:is>
      </x:c>
      <x:c r="N196" s="3" t="inlineStr">
        <x:is>
          <x:t xml:space="preserve"/>
        </x:is>
      </x:c>
      <x:c r="O196" s="3" t="inlineStr">
        <x:is>
          <x:t xml:space="preserve"/>
        </x:is>
      </x:c>
      <x:c r="P196" s="26" t="str">
        <x:v>lojavirtual@hidramave.com.br</x:v>
      </x:c>
      <x:c r="Q196" s="3" t="inlineStr">
        <x:is>
          <x:t xml:space="preserve"/>
        </x:is>
      </x:c>
      <x:c r="R196" s="5" t="n"/>
      <x:c r="S196" s="3" t="inlineStr">
        <x:is>
          <x:t xml:space="preserve"/>
        </x:is>
      </x:c>
      <x:c r="T196" s="3" t="inlineStr">
        <x:is>
          <x:t xml:space="preserve"/>
        </x:is>
      </x:c>
      <x:c r="U196" s="26" t="str">
        <x:v>https://www.hidramave.com.br/</x:v>
      </x:c>
    </x:row>
    <x:row r="197">
      <x:c r="A197" s="2" t="n">
        <x:v>196</x:v>
      </x:c>
      <x:c r="B197" s="3" t="inlineStr">
        <x:is>
          <x:t xml:space="preserve">Indubor Indústria de Borracha</x:t>
        </x:is>
      </x:c>
      <x:c r="C197" s="3" t="inlineStr">
        <x:is>
          <x:t xml:space="preserve">Fabricante</x:t>
        </x:is>
      </x:c>
      <x:c r="D197" s="3" t="inlineStr">
        <x:is>
          <x:t xml:space="preserve">Joinville</x:t>
        </x:is>
      </x:c>
      <x:c r="E197" s="2" t="inlineStr">
        <x:is>
          <x:t xml:space="preserve">SC</x:t>
        </x:is>
      </x:c>
      <x:c r="F197" s="2" t="inlineStr">
        <x:is>
          <x:t xml:space="preserve">Sul</x:t>
        </x:is>
      </x:c>
      <x:c r="G197" s="3" t="inlineStr">
        <x:is>
          <x:t xml:space="preserve">+55 47 3802-1400</x:t>
        </x:is>
      </x:c>
      <x:c r="H197" s="3" t="inlineStr">
        <x:is>
          <x:t xml:space="preserve">R. Guilherme Boldt, 155 - ZI Norte</x:t>
        </x:is>
      </x:c>
      <x:c r="I197" s="4" t="n">
        <x:v>4.8</x:v>
      </x:c>
      <x:c r="J197" s="2" t="n">
        <x:v>19</x:v>
      </x:c>
      <x:c r="K197" s="2" t="n">
        <x:f>IF(OR(I197="",J197=""),"",IFERROR(ROUND(I197*LN(J197+1),1),""))</x:f>
        <x:v>14.4</x:v>
      </x:c>
      <x:c r="L197" s="2" t="str">
        <x:f>IF(K197="","Sem dados - qualificar",IF(K197&gt;=15,"A - Alta",IF(K197&gt;=8,"B - Média","C - Baixa")))</x:f>
        <x:v>B - Média</x:v>
      </x:c>
      <x:c r="M197" s="2" t="inlineStr">
        <x:is>
          <x:t xml:space="preserve">Não contatado</x:t>
        </x:is>
      </x:c>
      <x:c r="N197" s="3" t="inlineStr">
        <x:is>
          <x:t xml:space="preserve"/>
        </x:is>
      </x:c>
      <x:c r="O197" s="3" t="inlineStr">
        <x:is>
          <x:t xml:space="preserve"/>
        </x:is>
      </x:c>
      <x:c r="P197" s="26" t="str"/>
      <x:c r="Q197" s="3" t="inlineStr">
        <x:is>
          <x:t xml:space="preserve"/>
        </x:is>
      </x:c>
      <x:c r="R197" s="5" t="n"/>
      <x:c r="S197" s="3" t="inlineStr">
        <x:is>
          <x:t xml:space="preserve"/>
        </x:is>
      </x:c>
      <x:c r="T197" s="3" t="inlineStr">
        <x:is>
          <x:t xml:space="preserve"/>
        </x:is>
      </x:c>
      <x:c r="U197" s="26" t="str">
        <x:v>Não localizado em fonte pública confiável até 24/07/2026</x:v>
      </x:c>
    </x:row>
    <x:row r="198">
      <x:c r="A198" s="2" t="n">
        <x:v>197</x:v>
      </x:c>
      <x:c r="B198" s="3" t="inlineStr">
        <x:is>
          <x:t xml:space="preserve">Joinville Vedações</x:t>
        </x:is>
      </x:c>
      <x:c r="C198" s="3" t="inlineStr">
        <x:is>
          <x:t xml:space="preserve">Vedações</x:t>
        </x:is>
      </x:c>
      <x:c r="D198" s="3" t="inlineStr">
        <x:is>
          <x:t xml:space="preserve">Joinville</x:t>
        </x:is>
      </x:c>
      <x:c r="E198" s="2" t="inlineStr">
        <x:is>
          <x:t xml:space="preserve">SC</x:t>
        </x:is>
      </x:c>
      <x:c r="F198" s="2" t="inlineStr">
        <x:is>
          <x:t xml:space="preserve">Sul</x:t>
        </x:is>
      </x:c>
      <x:c r="G198" s="3" t="inlineStr">
        <x:is>
          <x:t xml:space="preserve">+55 47 98479-5971</x:t>
        </x:is>
      </x:c>
      <x:c r="H198" s="3" t="inlineStr">
        <x:is>
          <x:t xml:space="preserve">R. Alois Finder, 1055 - Aventureiro</x:t>
        </x:is>
      </x:c>
      <x:c r="I198" s="4" t="n">
        <x:v>5</x:v>
      </x:c>
      <x:c r="J198" s="2" t="n">
        <x:v>1</x:v>
      </x:c>
      <x:c r="K198" s="2" t="n">
        <x:f>IF(OR(I198="",J198=""),"",IFERROR(ROUND(I198*LN(J198+1),1),""))</x:f>
        <x:v>3.5</x:v>
      </x:c>
      <x:c r="L198" s="2" t="str">
        <x:f>IF(K198="","Sem dados - qualificar",IF(K198&gt;=15,"A - Alta",IF(K198&gt;=8,"B - Média","C - Baixa")))</x:f>
        <x:v>C - Baixa</x:v>
      </x:c>
      <x:c r="M198" s="2" t="inlineStr">
        <x:is>
          <x:t xml:space="preserve">Não contatado</x:t>
        </x:is>
      </x:c>
      <x:c r="N198" s="3" t="inlineStr">
        <x:is>
          <x:t xml:space="preserve"/>
        </x:is>
      </x:c>
      <x:c r="O198" s="3" t="inlineStr">
        <x:is>
          <x:t xml:space="preserve"/>
        </x:is>
      </x:c>
      <x:c r="P198" s="26" t="str">
        <x:v>joinvillevedacoes@joinvillevedacoes.com.br</x:v>
      </x:c>
      <x:c r="Q198" s="3" t="inlineStr">
        <x:is>
          <x:t xml:space="preserve"/>
        </x:is>
      </x:c>
      <x:c r="R198" s="5" t="n"/>
      <x:c r="S198" s="3" t="inlineStr">
        <x:is>
          <x:t xml:space="preserve"/>
        </x:is>
      </x:c>
      <x:c r="T198" s="3" t="inlineStr">
        <x:is>
          <x:t xml:space="preserve"/>
        </x:is>
      </x:c>
      <x:c r="U198" s="26" t="str">
        <x:v>https://joinvillevedacoes.com.br/category/home/</x:v>
      </x:c>
    </x:row>
    <x:row r="199">
      <x:c r="A199" s="2" t="n">
        <x:v>198</x:v>
      </x:c>
      <x:c r="B199" s="3" t="inlineStr">
        <x:is>
          <x:t xml:space="preserve">Smierveda Lubrificantes e Vedações</x:t>
        </x:is>
      </x:c>
      <x:c r="C199" s="3" t="inlineStr">
        <x:is>
          <x:t xml:space="preserve">Vedações</x:t>
        </x:is>
      </x:c>
      <x:c r="D199" s="3" t="inlineStr">
        <x:is>
          <x:t xml:space="preserve">Joinville</x:t>
        </x:is>
      </x:c>
      <x:c r="E199" s="2" t="inlineStr">
        <x:is>
          <x:t xml:space="preserve">SC</x:t>
        </x:is>
      </x:c>
      <x:c r="F199" s="2" t="inlineStr">
        <x:is>
          <x:t xml:space="preserve">Sul</x:t>
        </x:is>
      </x:c>
      <x:c r="G199" s="3" t="inlineStr">
        <x:is>
          <x:t xml:space="preserve">+55 47 3027-9500</x:t>
        </x:is>
      </x:c>
      <x:c r="H199" s="3" t="inlineStr">
        <x:is>
          <x:t xml:space="preserve">R. Dona Francisca, 4322 - Santo Antônio</x:t>
        </x:is>
      </x:c>
      <x:c r="I199" s="4" t="n">
        <x:v>5</x:v>
      </x:c>
      <x:c r="J199" s="2" t="n">
        <x:v>2</x:v>
      </x:c>
      <x:c r="K199" s="2" t="n">
        <x:f>IF(OR(I199="",J199=""),"",IFERROR(ROUND(I199*LN(J199+1),1),""))</x:f>
        <x:v>5.5</x:v>
      </x:c>
      <x:c r="L199" s="2" t="str">
        <x:f>IF(K199="","Sem dados - qualificar",IF(K199&gt;=15,"A - Alta",IF(K199&gt;=8,"B - Média","C - Baixa")))</x:f>
        <x:v>C - Baixa</x:v>
      </x:c>
      <x:c r="M199" s="2" t="inlineStr">
        <x:is>
          <x:t xml:space="preserve">Não contatado</x:t>
        </x:is>
      </x:c>
      <x:c r="N199" s="3" t="inlineStr">
        <x:is>
          <x:t xml:space="preserve"/>
        </x:is>
      </x:c>
      <x:c r="O199" s="3" t="inlineStr">
        <x:is>
          <x:t xml:space="preserve"/>
        </x:is>
      </x:c>
      <x:c r="P199" s="26" t="str">
        <x:v>joinville@smierveda.com.br</x:v>
      </x:c>
      <x:c r="Q199" s="3" t="inlineStr">
        <x:is>
          <x:t xml:space="preserve"/>
        </x:is>
      </x:c>
      <x:c r="R199" s="5" t="n"/>
      <x:c r="S199" s="3" t="inlineStr">
        <x:is>
          <x:t xml:space="preserve"/>
        </x:is>
      </x:c>
      <x:c r="T199" s="3" t="inlineStr">
        <x:is>
          <x:t xml:space="preserve"/>
        </x:is>
      </x:c>
      <x:c r="U199" s="26" t="str">
        <x:v>https://www.smierveda.com.br/fale-conosco/</x:v>
      </x:c>
    </x:row>
    <x:row r="200">
      <x:c r="A200" s="2" t="n">
        <x:v>199</x:v>
      </x:c>
      <x:c r="B200" s="3" t="inlineStr">
        <x:is>
          <x:t xml:space="preserve">Tornarth Máquinas e Equipamentos</x:t>
        </x:is>
      </x:c>
      <x:c r="C200" s="3" t="inlineStr">
        <x:is>
          <x:t xml:space="preserve">Industrial/Vedações</x:t>
        </x:is>
      </x:c>
      <x:c r="D200" s="3" t="inlineStr">
        <x:is>
          <x:t xml:space="preserve">Joinville</x:t>
        </x:is>
      </x:c>
      <x:c r="E200" s="2" t="inlineStr">
        <x:is>
          <x:t xml:space="preserve">SC</x:t>
        </x:is>
      </x:c>
      <x:c r="F200" s="2" t="inlineStr">
        <x:is>
          <x:t xml:space="preserve">Sul</x:t>
        </x:is>
      </x:c>
      <x:c r="G200" s="3" t="inlineStr">
        <x:is>
          <x:t xml:space="preserve">+55 47 3465-0166</x:t>
        </x:is>
      </x:c>
      <x:c r="H200" s="3" t="inlineStr">
        <x:is>
          <x:t xml:space="preserve">R. Cidade de Luziânia, 1566 - Itinga</x:t>
        </x:is>
      </x:c>
      <x:c r="I200" s="4" t="n">
        <x:v>4.8</x:v>
      </x:c>
      <x:c r="J200" s="2" t="n">
        <x:v>60</x:v>
      </x:c>
      <x:c r="K200" s="2" t="n">
        <x:f>IF(OR(I200="",J200=""),"",IFERROR(ROUND(I200*LN(J200+1),1),""))</x:f>
        <x:v>19.7</x:v>
      </x:c>
      <x:c r="L200" s="2" t="str">
        <x:f>IF(K200="","Sem dados - qualificar",IF(K200&gt;=15,"A - Alta",IF(K200&gt;=8,"B - Média","C - Baixa")))</x:f>
        <x:v>A - Alta</x:v>
      </x:c>
      <x:c r="M200" s="2" t="inlineStr">
        <x:is>
          <x:t xml:space="preserve">Não contatado</x:t>
        </x:is>
      </x:c>
      <x:c r="N200" s="3" t="inlineStr">
        <x:is>
          <x:t xml:space="preserve"/>
        </x:is>
      </x:c>
      <x:c r="O200" s="3" t="inlineStr">
        <x:is>
          <x:t xml:space="preserve"/>
        </x:is>
      </x:c>
      <x:c r="P200" s="26" t="str"/>
      <x:c r="Q200" s="3" t="inlineStr">
        <x:is>
          <x:t xml:space="preserve"/>
        </x:is>
      </x:c>
      <x:c r="R200" s="5" t="n"/>
      <x:c r="S200" s="3" t="inlineStr">
        <x:is>
          <x:t xml:space="preserve"/>
        </x:is>
      </x:c>
      <x:c r="T200" s="3" t="inlineStr">
        <x:is>
          <x:t xml:space="preserve"/>
        </x:is>
      </x:c>
      <x:c r="U200" s="26" t="str">
        <x:v>Não localizado em fonte pública confiável até 24/07/2026</x:v>
      </x:c>
    </x:row>
    <x:row r="201">
      <x:c r="A201" s="2" t="n">
        <x:v>200</x:v>
      </x:c>
      <x:c r="B201" s="3" t="inlineStr">
        <x:is>
          <x:t xml:space="preserve">VedaSanta Vedações e Retentores</x:t>
        </x:is>
      </x:c>
      <x:c r="C201" s="3" t="inlineStr">
        <x:is>
          <x:t xml:space="preserve">Vedações</x:t>
        </x:is>
      </x:c>
      <x:c r="D201" s="3" t="inlineStr">
        <x:is>
          <x:t xml:space="preserve">Joinville</x:t>
        </x:is>
      </x:c>
      <x:c r="E201" s="2" t="inlineStr">
        <x:is>
          <x:t xml:space="preserve">SC</x:t>
        </x:is>
      </x:c>
      <x:c r="F201" s="2" t="inlineStr">
        <x:is>
          <x:t xml:space="preserve">Sul</x:t>
        </x:is>
      </x:c>
      <x:c r="G201" s="3" t="inlineStr">
        <x:is>
          <x:t xml:space="preserve">+55 47 3023-1747</x:t>
        </x:is>
      </x:c>
      <x:c r="H201" s="3" t="inlineStr">
        <x:is>
          <x:t xml:space="preserve">R. Dona Francisca, 4665 - Santo Antônio</x:t>
        </x:is>
      </x:c>
      <x:c r="I201" s="4" t="n">
        <x:v>5</x:v>
      </x:c>
      <x:c r="J201" s="2" t="n">
        <x:v>18</x:v>
      </x:c>
      <x:c r="K201" s="2" t="n">
        <x:f>IF(OR(I201="",J201=""),"",IFERROR(ROUND(I201*LN(J201+1),1),""))</x:f>
        <x:v>14.7</x:v>
      </x:c>
      <x:c r="L201" s="2" t="str">
        <x:f>IF(K201="","Sem dados - qualificar",IF(K201&gt;=15,"A - Alta",IF(K201&gt;=8,"B - Média","C - Baixa")))</x:f>
        <x:v>B - Média</x:v>
      </x:c>
      <x:c r="M201" s="2" t="inlineStr">
        <x:is>
          <x:t xml:space="preserve">Não contatado</x:t>
        </x:is>
      </x:c>
      <x:c r="N201" s="3" t="inlineStr">
        <x:is>
          <x:t xml:space="preserve"/>
        </x:is>
      </x:c>
      <x:c r="O201" s="3" t="inlineStr">
        <x:is>
          <x:t xml:space="preserve"/>
        </x:is>
      </x:c>
      <x:c r="P201" s="26" t="str"/>
      <x:c r="Q201" s="3" t="inlineStr">
        <x:is>
          <x:t xml:space="preserve"/>
        </x:is>
      </x:c>
      <x:c r="R201" s="5" t="n"/>
      <x:c r="S201" s="3" t="inlineStr">
        <x:is>
          <x:t xml:space="preserve"/>
        </x:is>
      </x:c>
      <x:c r="T201" s="3" t="inlineStr">
        <x:is>
          <x:t xml:space="preserve"/>
        </x:is>
      </x:c>
      <x:c r="U201" s="26" t="str">
        <x:v>Não localizado em fonte pública confiável até 24/07/2026</x:v>
      </x:c>
    </x:row>
    <x:row r="202">
      <x:c r="A202" s="2" t="n">
        <x:v>201</x:v>
      </x:c>
      <x:c r="B202" s="3" t="inlineStr">
        <x:is>
          <x:t xml:space="preserve">Voga Vedabrás - Joinville</x:t>
        </x:is>
      </x:c>
      <x:c r="C202" s="3" t="inlineStr">
        <x:is>
          <x:t xml:space="preserve">Distribuidor Vedabrás</x:t>
        </x:is>
      </x:c>
      <x:c r="D202" s="3" t="inlineStr">
        <x:is>
          <x:t xml:space="preserve">Joinville</x:t>
        </x:is>
      </x:c>
      <x:c r="E202" s="2" t="inlineStr">
        <x:is>
          <x:t xml:space="preserve">SC</x:t>
        </x:is>
      </x:c>
      <x:c r="F202" s="2" t="inlineStr">
        <x:is>
          <x:t xml:space="preserve">Sul</x:t>
        </x:is>
      </x:c>
      <x:c r="G202" s="3" t="inlineStr">
        <x:is>
          <x:t xml:space="preserve">+55 47 3433-3556</x:t>
        </x:is>
      </x:c>
      <x:c r="H202" s="3" t="inlineStr">
        <x:is>
          <x:t xml:space="preserve">R. Dona Francisca, 4333 - Santo Antônio</x:t>
        </x:is>
      </x:c>
      <x:c r="I202" s="4" t="n">
        <x:v>4.4</x:v>
      </x:c>
      <x:c r="J202" s="2" t="n">
        <x:v>69</x:v>
      </x:c>
      <x:c r="K202" s="2" t="n">
        <x:f>IF(OR(I202="",J202=""),"",IFERROR(ROUND(I202*LN(J202+1),1),""))</x:f>
        <x:v>18.7</x:v>
      </x:c>
      <x:c r="L202" s="2" t="str">
        <x:f>IF(K202="","Sem dados - qualificar",IF(K202&gt;=15,"A - Alta",IF(K202&gt;=8,"B - Média","C - Baixa")))</x:f>
        <x:v>A - Alta</x:v>
      </x:c>
      <x:c r="M202" s="2" t="inlineStr">
        <x:is>
          <x:t xml:space="preserve">Não contatado</x:t>
        </x:is>
      </x:c>
      <x:c r="N202" s="3" t="inlineStr">
        <x:is>
          <x:t xml:space="preserve"/>
        </x:is>
      </x:c>
      <x:c r="O202" s="3" t="inlineStr">
        <x:is>
          <x:t xml:space="preserve"/>
        </x:is>
      </x:c>
      <x:c r="P202" s="26" t="str">
        <x:v>tiago@vogavedabras.com.br</x:v>
      </x:c>
      <x:c r="Q202" s="3" t="inlineStr">
        <x:is>
          <x:t xml:space="preserve"/>
        </x:is>
      </x:c>
      <x:c r="R202" s="5" t="n"/>
      <x:c r="S202" s="3" t="inlineStr">
        <x:is>
          <x:t xml:space="preserve"/>
        </x:is>
      </x:c>
      <x:c r="T202" s="3" t="inlineStr">
        <x:is>
          <x:t xml:space="preserve"/>
        </x:is>
      </x:c>
      <x:c r="U202" s="26" t="str">
        <x:v>https://www.skf.com/binaries/pub330/Images/Distribuidores-Autorizados-IM-SKF-01-22_tcm_330-565060.pdf</x:v>
      </x:c>
    </x:row>
    <x:row r="203">
      <x:c r="A203" s="2" t="n">
        <x:v>202</x:v>
      </x:c>
      <x:c r="B203" s="3" t="inlineStr">
        <x:is>
          <x:t xml:space="preserve">Recopeças Ind. e Com. de Peças e Equipamentos</x:t>
        </x:is>
      </x:c>
      <x:c r="C203" s="3" t="inlineStr">
        <x:is>
          <x:t xml:space="preserve">Vedações</x:t>
        </x:is>
      </x:c>
      <x:c r="D203" s="3" t="inlineStr">
        <x:is>
          <x:t xml:space="preserve">São José</x:t>
        </x:is>
      </x:c>
      <x:c r="E203" s="2" t="inlineStr">
        <x:is>
          <x:t xml:space="preserve">SC</x:t>
        </x:is>
      </x:c>
      <x:c r="F203" s="2" t="inlineStr">
        <x:is>
          <x:t xml:space="preserve">Sul</x:t>
        </x:is>
      </x:c>
      <x:c r="G203" s="3" t="inlineStr">
        <x:is>
          <x:t xml:space="preserve">+55 48 3205-1234</x:t>
        </x:is>
      </x:c>
      <x:c r="H203" s="3" t="inlineStr">
        <x:is>
          <x:t xml:space="preserve">R. Camilo V. da Silva, 150 - Roçado</x:t>
        </x:is>
      </x:c>
      <x:c r="I203" s="4" t="n">
        <x:v>4.5</x:v>
      </x:c>
      <x:c r="J203" s="2" t="n">
        <x:v>118</x:v>
      </x:c>
      <x:c r="K203" s="2" t="n">
        <x:f>IF(OR(I203="",J203=""),"",IFERROR(ROUND(I203*LN(J203+1),1),""))</x:f>
        <x:v>21.5</x:v>
      </x:c>
      <x:c r="L203" s="2" t="str">
        <x:f>IF(K203="","Sem dados - qualificar",IF(K203&gt;=15,"A - Alta",IF(K203&gt;=8,"B - Média","C - Baixa")))</x:f>
        <x:v>A - Alta</x:v>
      </x:c>
      <x:c r="M203" s="2" t="inlineStr">
        <x:is>
          <x:t xml:space="preserve">Não contatado</x:t>
        </x:is>
      </x:c>
      <x:c r="N203" s="3" t="inlineStr">
        <x:is>
          <x:t xml:space="preserve"/>
        </x:is>
      </x:c>
      <x:c r="O203" s="3" t="inlineStr">
        <x:is>
          <x:t xml:space="preserve"/>
        </x:is>
      </x:c>
      <x:c r="P203" s="26" t="str"/>
      <x:c r="Q203" s="3" t="inlineStr">
        <x:is>
          <x:t xml:space="preserve"/>
        </x:is>
      </x:c>
      <x:c r="R203" s="5" t="n"/>
      <x:c r="S203" s="3" t="inlineStr">
        <x:is>
          <x:t xml:space="preserve"/>
        </x:is>
      </x:c>
      <x:c r="T203" s="3" t="inlineStr">
        <x:is>
          <x:t xml:space="preserve"/>
        </x:is>
      </x:c>
      <x:c r="U203" s="26" t="str">
        <x:v>Não localizado em fonte pública confiável até 24/07/2026</x:v>
      </x:c>
    </x:row>
    <x:row r="204">
      <x:c r="A204" s="2" t="n">
        <x:v>203</x:v>
      </x:c>
      <x:c r="B204" s="3" t="inlineStr">
        <x:is>
          <x:t xml:space="preserve">Brasília Vedações</x:t>
        </x:is>
      </x:c>
      <x:c r="C204" s="3" t="inlineStr">
        <x:is>
          <x:t xml:space="preserve">Vedações</x:t>
        </x:is>
      </x:c>
      <x:c r="D204" s="3" t="inlineStr">
        <x:is>
          <x:t xml:space="preserve">Brasília</x:t>
        </x:is>
      </x:c>
      <x:c r="E204" s="2" t="inlineStr">
        <x:is>
          <x:t xml:space="preserve">DF</x:t>
        </x:is>
      </x:c>
      <x:c r="F204" s="2" t="inlineStr">
        <x:is>
          <x:t xml:space="preserve">Centro-Oeste</x:t>
        </x:is>
      </x:c>
      <x:c r="G204" s="3" t="inlineStr">
        <x:is>
          <x:t xml:space="preserve">+55 61 3356-4385</x:t>
        </x:is>
      </x:c>
      <x:c r="H204" s="3" t="inlineStr">
        <x:is>
          <x:t xml:space="preserve">St. Sul QSE AE 16 - Taguatinga Sul</x:t>
        </x:is>
      </x:c>
      <x:c r="I204" s="4" t="n">
        <x:v>4.7</x:v>
      </x:c>
      <x:c r="J204" s="2" t="n">
        <x:v>6</x:v>
      </x:c>
      <x:c r="K204" s="2" t="n">
        <x:f>IF(OR(I204="",J204=""),"",IFERROR(ROUND(I204*LN(J204+1),1),""))</x:f>
        <x:v>9.1</x:v>
      </x:c>
      <x:c r="L204" s="2" t="str">
        <x:f>IF(K204="","Sem dados - qualificar",IF(K204&gt;=15,"A - Alta",IF(K204&gt;=8,"B - Média","C - Baixa")))</x:f>
        <x:v>B - Média</x:v>
      </x:c>
      <x:c r="M204" s="2" t="inlineStr">
        <x:is>
          <x:t xml:space="preserve">Não contatado</x:t>
        </x:is>
      </x:c>
      <x:c r="N204" s="3" t="inlineStr">
        <x:is>
          <x:t xml:space="preserve"/>
        </x:is>
      </x:c>
      <x:c r="O204" s="3" t="inlineStr">
        <x:is>
          <x:t xml:space="preserve"/>
        </x:is>
      </x:c>
      <x:c r="P204" s="26" t="str"/>
      <x:c r="Q204" s="3" t="inlineStr">
        <x:is>
          <x:t xml:space="preserve"/>
        </x:is>
      </x:c>
      <x:c r="R204" s="5" t="n"/>
      <x:c r="S204" s="3" t="inlineStr">
        <x:is>
          <x:t xml:space="preserve"/>
        </x:is>
      </x:c>
      <x:c r="T204" s="3" t="inlineStr">
        <x:is>
          <x:t xml:space="preserve"/>
        </x:is>
      </x:c>
      <x:c r="U204" s="26" t="str">
        <x:v>Não localizado em fonte pública confiável até 24/07/2026</x:v>
      </x:c>
    </x:row>
    <x:row r="205">
      <x:c r="A205" s="2" t="n">
        <x:v>204</x:v>
      </x:c>
      <x:c r="B205" s="3" t="inlineStr">
        <x:is>
          <x:t xml:space="preserve">Global Soluções Industriais em Vedações</x:t>
        </x:is>
      </x:c>
      <x:c r="C205" s="3" t="inlineStr">
        <x:is>
          <x:t xml:space="preserve">Fabricante/Vedações</x:t>
        </x:is>
      </x:c>
      <x:c r="D205" s="3" t="inlineStr">
        <x:is>
          <x:t xml:space="preserve">Goiânia</x:t>
        </x:is>
      </x:c>
      <x:c r="E205" s="2" t="inlineStr">
        <x:is>
          <x:t xml:space="preserve">GO</x:t>
        </x:is>
      </x:c>
      <x:c r="F205" s="2" t="inlineStr">
        <x:is>
          <x:t xml:space="preserve">Centro-Oeste</x:t>
        </x:is>
      </x:c>
      <x:c r="G205" s="3" t="inlineStr">
        <x:is>
          <x:t xml:space="preserve">+55 62 3642-2267</x:t>
        </x:is>
      </x:c>
      <x:c r="H205" s="3" t="inlineStr">
        <x:is>
          <x:t xml:space="preserve">R. José Arantes Costa, 211 - Cidade Jardim</x:t>
        </x:is>
      </x:c>
      <x:c r="I205" s="4" t="n"/>
      <x:c r="J205" s="2" t="n"/>
      <x:c r="K205" s="2" t="str">
        <x:f>IF(OR(I205="",J205=""),"",IFERROR(ROUND(I205*LN(J205+1),1),""))</x:f>
      </x:c>
      <x:c r="L205" s="2" t="str">
        <x:f>IF(K205="","Sem dados - qualificar",IF(K205&gt;=15,"A - Alta",IF(K205&gt;=8,"B - Média","C - Baixa")))</x:f>
        <x:v>Sem dados - qualificar</x:v>
      </x:c>
      <x:c r="M205" s="2" t="inlineStr">
        <x:is>
          <x:t xml:space="preserve">Não contatado</x:t>
        </x:is>
      </x:c>
      <x:c r="N205" s="3" t="inlineStr">
        <x:is>
          <x:t xml:space="preserve"/>
        </x:is>
      </x:c>
      <x:c r="O205" s="3" t="inlineStr">
        <x:is>
          <x:t xml:space="preserve"/>
        </x:is>
      </x:c>
      <x:c r="P205" s="26" t="str"/>
      <x:c r="Q205" s="3" t="inlineStr">
        <x:is>
          <x:t xml:space="preserve"/>
        </x:is>
      </x:c>
      <x:c r="R205" s="5" t="n"/>
      <x:c r="S205" s="3" t="inlineStr">
        <x:is>
          <x:t xml:space="preserve"/>
        </x:is>
      </x:c>
      <x:c r="T205" s="3" t="inlineStr">
        <x:is>
          <x:t xml:space="preserve"/>
        </x:is>
      </x:c>
      <x:c r="U205" s="26" t="str">
        <x:v>Não localizado em fonte pública confiável até 24/07/2026</x:v>
      </x:c>
    </x:row>
    <x:row r="206">
      <x:c r="A206" s="2" t="n">
        <x:v>205</x:v>
      </x:c>
      <x:c r="B206" s="3" t="inlineStr">
        <x:is>
          <x:t xml:space="preserve">Goiânia Vedações</x:t>
        </x:is>
      </x:c>
      <x:c r="C206" s="3" t="inlineStr">
        <x:is>
          <x:t xml:space="preserve">Vedações</x:t>
        </x:is>
      </x:c>
      <x:c r="D206" s="3" t="inlineStr">
        <x:is>
          <x:t xml:space="preserve">Goiânia</x:t>
        </x:is>
      </x:c>
      <x:c r="E206" s="2" t="inlineStr">
        <x:is>
          <x:t xml:space="preserve">GO</x:t>
        </x:is>
      </x:c>
      <x:c r="F206" s="2" t="inlineStr">
        <x:is>
          <x:t xml:space="preserve">Centro-Oeste</x:t>
        </x:is>
      </x:c>
      <x:c r="G206" s="3" t="inlineStr">
        <x:is>
          <x:t xml:space="preserve">+55 62 3942-2255</x:t>
        </x:is>
      </x:c>
      <x:c r="H206" s="3" t="inlineStr">
        <x:is>
          <x:t xml:space="preserve">Av. dos Pirineus, 249 - Rodoviário</x:t>
        </x:is>
      </x:c>
      <x:c r="I206" s="4" t="n">
        <x:v>5</x:v>
      </x:c>
      <x:c r="J206" s="2" t="n">
        <x:v>5</x:v>
      </x:c>
      <x:c r="K206" s="2" t="n">
        <x:f>IF(OR(I206="",J206=""),"",IFERROR(ROUND(I206*LN(J206+1),1),""))</x:f>
        <x:v>9</x:v>
      </x:c>
      <x:c r="L206" s="2" t="str">
        <x:f>IF(K206="","Sem dados - qualificar",IF(K206&gt;=15,"A - Alta",IF(K206&gt;=8,"B - Média","C - Baixa")))</x:f>
        <x:v>B - Média</x:v>
      </x:c>
      <x:c r="M206" s="2" t="inlineStr">
        <x:is>
          <x:t xml:space="preserve">Não contatado</x:t>
        </x:is>
      </x:c>
      <x:c r="N206" s="3" t="inlineStr">
        <x:is>
          <x:t xml:space="preserve"/>
        </x:is>
      </x:c>
      <x:c r="O206" s="3" t="inlineStr">
        <x:is>
          <x:t xml:space="preserve"/>
        </x:is>
      </x:c>
      <x:c r="P206" s="26" t="str"/>
      <x:c r="Q206" s="3" t="inlineStr">
        <x:is>
          <x:t xml:space="preserve"/>
        </x:is>
      </x:c>
      <x:c r="R206" s="5" t="n"/>
      <x:c r="S206" s="3" t="inlineStr">
        <x:is>
          <x:t xml:space="preserve"/>
        </x:is>
      </x:c>
      <x:c r="T206" s="3" t="inlineStr">
        <x:is>
          <x:t xml:space="preserve"/>
        </x:is>
      </x:c>
      <x:c r="U206" s="26" t="str">
        <x:v>Não localizado em fonte pública confiável até 24/07/2026</x:v>
      </x:c>
    </x:row>
    <x:row r="207">
      <x:c r="A207" s="2" t="n">
        <x:v>206</x:v>
      </x:c>
      <x:c r="B207" s="3" t="inlineStr">
        <x:is>
          <x:t xml:space="preserve">Reis Vedações</x:t>
        </x:is>
      </x:c>
      <x:c r="C207" s="3" t="inlineStr">
        <x:is>
          <x:t xml:space="preserve">Hidráulica/Vedações</x:t>
        </x:is>
      </x:c>
      <x:c r="D207" s="3" t="inlineStr">
        <x:is>
          <x:t xml:space="preserve">Goiânia</x:t>
        </x:is>
      </x:c>
      <x:c r="E207" s="2" t="inlineStr">
        <x:is>
          <x:t xml:space="preserve">GO</x:t>
        </x:is>
      </x:c>
      <x:c r="F207" s="2" t="inlineStr">
        <x:is>
          <x:t xml:space="preserve">Centro-Oeste</x:t>
        </x:is>
      </x:c>
      <x:c r="G207" s="3" t="inlineStr">
        <x:is>
          <x:t xml:space="preserve">+55 62 98150-3998</x:t>
        </x:is>
      </x:c>
      <x:c r="H207" s="3" t="inlineStr">
        <x:is>
          <x:t xml:space="preserve">Av. São Francisco, 120 - Sta. Genoveva</x:t>
        </x:is>
      </x:c>
      <x:c r="I207" s="4" t="n">
        <x:v>3.8</x:v>
      </x:c>
      <x:c r="J207" s="2" t="n">
        <x:v>5</x:v>
      </x:c>
      <x:c r="K207" s="2" t="n">
        <x:f>IF(OR(I207="",J207=""),"",IFERROR(ROUND(I207*LN(J207+1),1),""))</x:f>
        <x:v>6.8</x:v>
      </x:c>
      <x:c r="L207" s="2" t="str">
        <x:f>IF(K207="","Sem dados - qualificar",IF(K207&gt;=15,"A - Alta",IF(K207&gt;=8,"B - Média","C - Baixa")))</x:f>
        <x:v>C - Baixa</x:v>
      </x:c>
      <x:c r="M207" s="2" t="inlineStr">
        <x:is>
          <x:t xml:space="preserve">Não contatado</x:t>
        </x:is>
      </x:c>
      <x:c r="N207" s="3" t="inlineStr">
        <x:is>
          <x:t xml:space="preserve"/>
        </x:is>
      </x:c>
      <x:c r="O207" s="3" t="inlineStr">
        <x:is>
          <x:t xml:space="preserve"/>
        </x:is>
      </x:c>
      <x:c r="P207" s="26" t="str"/>
      <x:c r="Q207" s="3" t="inlineStr">
        <x:is>
          <x:t xml:space="preserve"/>
        </x:is>
      </x:c>
      <x:c r="R207" s="5" t="n"/>
      <x:c r="S207" s="3" t="inlineStr">
        <x:is>
          <x:t xml:space="preserve"/>
        </x:is>
      </x:c>
      <x:c r="T207" s="3" t="inlineStr">
        <x:is>
          <x:t xml:space="preserve"/>
        </x:is>
      </x:c>
      <x:c r="U207" s="26" t="str">
        <x:v>Não localizado em fonte pública confiável até 24/07/2026</x:v>
      </x:c>
    </x:row>
    <x:row r="208">
      <x:c r="A208" s="2" t="n">
        <x:v>207</x:v>
      </x:c>
      <x:c r="B208" s="3" t="inlineStr">
        <x:is>
          <x:t xml:space="preserve">Suprema Distribuidora de Vedações e Comp. Hidráulicos</x:t>
        </x:is>
      </x:c>
      <x:c r="C208" s="3" t="inlineStr">
        <x:is>
          <x:t xml:space="preserve">Distribuidora</x:t>
        </x:is>
      </x:c>
      <x:c r="D208" s="3" t="inlineStr">
        <x:is>
          <x:t xml:space="preserve">Goiânia</x:t>
        </x:is>
      </x:c>
      <x:c r="E208" s="2" t="inlineStr">
        <x:is>
          <x:t xml:space="preserve">GO</x:t>
        </x:is>
      </x:c>
      <x:c r="F208" s="2" t="inlineStr">
        <x:is>
          <x:t xml:space="preserve">Centro-Oeste</x:t>
        </x:is>
      </x:c>
      <x:c r="G208" s="3" t="inlineStr">
        <x:is>
          <x:t xml:space="preserve">+55 62 3293-8887</x:t>
        </x:is>
      </x:c>
      <x:c r="H208" s="3" t="inlineStr">
        <x:is>
          <x:t xml:space="preserve">Av. Castelo Branco, 5068 - Setor Rodoviário</x:t>
        </x:is>
      </x:c>
      <x:c r="I208" s="4" t="n">
        <x:v>4.5</x:v>
      </x:c>
      <x:c r="J208" s="2" t="n">
        <x:v>10</x:v>
      </x:c>
      <x:c r="K208" s="2" t="n">
        <x:f>IF(OR(I208="",J208=""),"",IFERROR(ROUND(I208*LN(J208+1),1),""))</x:f>
        <x:v>10.8</x:v>
      </x:c>
      <x:c r="L208" s="2" t="str">
        <x:f>IF(K208="","Sem dados - qualificar",IF(K208&gt;=15,"A - Alta",IF(K208&gt;=8,"B - Média","C - Baixa")))</x:f>
        <x:v>B - Média</x:v>
      </x:c>
      <x:c r="M208" s="2" t="inlineStr">
        <x:is>
          <x:t xml:space="preserve">Não contatado</x:t>
        </x:is>
      </x:c>
      <x:c r="N208" s="3" t="inlineStr">
        <x:is>
          <x:t xml:space="preserve"/>
        </x:is>
      </x:c>
      <x:c r="O208" s="3" t="inlineStr">
        <x:is>
          <x:t xml:space="preserve"/>
        </x:is>
      </x:c>
      <x:c r="P208" s="26" t="str"/>
      <x:c r="Q208" s="3" t="inlineStr">
        <x:is>
          <x:t xml:space="preserve"/>
        </x:is>
      </x:c>
      <x:c r="R208" s="5" t="n"/>
      <x:c r="S208" s="3" t="inlineStr">
        <x:is>
          <x:t xml:space="preserve"/>
        </x:is>
      </x:c>
      <x:c r="T208" s="3" t="inlineStr">
        <x:is>
          <x:t xml:space="preserve"/>
        </x:is>
      </x:c>
      <x:c r="U208" s="26" t="str">
        <x:v>Não localizado em fonte pública confiável até 24/07/2026</x:v>
      </x:c>
    </x:row>
    <x:row r="209">
      <x:c r="A209" s="2" t="n">
        <x:v>208</x:v>
      </x:c>
      <x:c r="B209" s="3" t="inlineStr">
        <x:is>
          <x:t xml:space="preserve">Veda Mais Selos Mecânicos e Peças</x:t>
        </x:is>
      </x:c>
      <x:c r="C209" s="3" t="inlineStr">
        <x:is>
          <x:t xml:space="preserve">Selos Mecânicos</x:t>
        </x:is>
      </x:c>
      <x:c r="D209" s="3" t="inlineStr">
        <x:is>
          <x:t xml:space="preserve">Goiânia</x:t>
        </x:is>
      </x:c>
      <x:c r="E209" s="2" t="inlineStr">
        <x:is>
          <x:t xml:space="preserve">GO</x:t>
        </x:is>
      </x:c>
      <x:c r="F209" s="2" t="inlineStr">
        <x:is>
          <x:t xml:space="preserve">Centro-Oeste</x:t>
        </x:is>
      </x:c>
      <x:c r="G209" s="3" t="inlineStr">
        <x:is>
          <x:t xml:space="preserve">+55 62 3597-4803</x:t>
        </x:is>
      </x:c>
      <x:c r="H209" s="3" t="inlineStr">
        <x:is>
          <x:t xml:space="preserve">R. da Praça São Paulo, 137 - Vila Regina</x:t>
        </x:is>
      </x:c>
      <x:c r="I209" s="4" t="n">
        <x:v>4.5</x:v>
      </x:c>
      <x:c r="J209" s="2" t="n">
        <x:v>27</x:v>
      </x:c>
      <x:c r="K209" s="2" t="n">
        <x:f>IF(OR(I209="",J209=""),"",IFERROR(ROUND(I209*LN(J209+1),1),""))</x:f>
        <x:v>15</x:v>
      </x:c>
      <x:c r="L209" s="2" t="str">
        <x:f>IF(K209="","Sem dados - qualificar",IF(K209&gt;=15,"A - Alta",IF(K209&gt;=8,"B - Média","C - Baixa")))</x:f>
        <x:v>A - Alta</x:v>
      </x:c>
      <x:c r="M209" s="2" t="inlineStr">
        <x:is>
          <x:t xml:space="preserve">Não contatado</x:t>
        </x:is>
      </x:c>
      <x:c r="N209" s="3" t="inlineStr">
        <x:is>
          <x:t xml:space="preserve"/>
        </x:is>
      </x:c>
      <x:c r="O209" s="3" t="inlineStr">
        <x:is>
          <x:t xml:space="preserve"/>
        </x:is>
      </x:c>
      <x:c r="P209" s="26" t="str"/>
      <x:c r="Q209" s="3" t="inlineStr">
        <x:is>
          <x:t xml:space="preserve"/>
        </x:is>
      </x:c>
      <x:c r="R209" s="5" t="n"/>
      <x:c r="S209" s="3" t="inlineStr">
        <x:is>
          <x:t xml:space="preserve"/>
        </x:is>
      </x:c>
      <x:c r="T209" s="3" t="inlineStr">
        <x:is>
          <x:t xml:space="preserve"/>
        </x:is>
      </x:c>
      <x:c r="U209" s="26" t="str">
        <x:v>Não localizado em fonte pública confiável até 24/07/2026</x:v>
      </x:c>
    </x:row>
    <x:row r="210">
      <x:c r="A210" s="2" t="n">
        <x:v>209</x:v>
      </x:c>
      <x:c r="B210" s="3" t="inlineStr">
        <x:is>
          <x:t xml:space="preserve">Hidráulica Rio Verde</x:t>
        </x:is>
      </x:c>
      <x:c r="C210" s="3" t="inlineStr">
        <x:is>
          <x:t xml:space="preserve">Hidráulica/Vedações</x:t>
        </x:is>
      </x:c>
      <x:c r="D210" s="3" t="inlineStr">
        <x:is>
          <x:t xml:space="preserve">Rio Verde</x:t>
        </x:is>
      </x:c>
      <x:c r="E210" s="2" t="inlineStr">
        <x:is>
          <x:t xml:space="preserve">GO</x:t>
        </x:is>
      </x:c>
      <x:c r="F210" s="2" t="inlineStr">
        <x:is>
          <x:t xml:space="preserve">Centro-Oeste</x:t>
        </x:is>
      </x:c>
      <x:c r="G210" s="3" t="inlineStr">
        <x:is>
          <x:t xml:space="preserve">+55 64 3612-0210</x:t>
        </x:is>
      </x:c>
      <x:c r="H210" s="3" t="inlineStr">
        <x:is>
          <x:t xml:space="preserve">Av. Pedro Ludovico Teixeira, 1862 - Vila Maria</x:t>
        </x:is>
      </x:c>
      <x:c r="I210" s="4" t="n">
        <x:v>4.9</x:v>
      </x:c>
      <x:c r="J210" s="2" t="n">
        <x:v>24</x:v>
      </x:c>
      <x:c r="K210" s="2" t="n">
        <x:f>IF(OR(I210="",J210=""),"",IFERROR(ROUND(I210*LN(J210+1),1),""))</x:f>
        <x:v>15.8</x:v>
      </x:c>
      <x:c r="L210" s="2" t="str">
        <x:f>IF(K210="","Sem dados - qualificar",IF(K210&gt;=15,"A - Alta",IF(K210&gt;=8,"B - Média","C - Baixa")))</x:f>
        <x:v>A - Alta</x:v>
      </x:c>
      <x:c r="M210" s="2" t="inlineStr">
        <x:is>
          <x:t xml:space="preserve">Não contatado</x:t>
        </x:is>
      </x:c>
      <x:c r="N210" s="3" t="inlineStr">
        <x:is>
          <x:t xml:space="preserve"/>
        </x:is>
      </x:c>
      <x:c r="O210" s="3" t="inlineStr">
        <x:is>
          <x:t xml:space="preserve"/>
        </x:is>
      </x:c>
      <x:c r="P210" s="26" t="str"/>
      <x:c r="Q210" s="3" t="inlineStr">
        <x:is>
          <x:t xml:space="preserve"/>
        </x:is>
      </x:c>
      <x:c r="R210" s="5" t="n"/>
      <x:c r="S210" s="3" t="inlineStr">
        <x:is>
          <x:t xml:space="preserve"/>
        </x:is>
      </x:c>
      <x:c r="T210" s="3" t="inlineStr">
        <x:is>
          <x:t xml:space="preserve"/>
        </x:is>
      </x:c>
      <x:c r="U210" s="26" t="str">
        <x:v>Não localizado em fonte pública confiável até 24/07/2026</x:v>
      </x:c>
    </x:row>
    <x:row r="211">
      <x:c r="A211" s="2" t="n">
        <x:v>210</x:v>
      </x:c>
      <x:c r="B211" s="3" t="inlineStr">
        <x:is>
          <x:t xml:space="preserve">Hidroflex Comércio Hidráulica e Pneumática</x:t>
        </x:is>
      </x:c>
      <x:c r="C211" s="3" t="inlineStr">
        <x:is>
          <x:t xml:space="preserve">Hidráulica/Vedações</x:t>
        </x:is>
      </x:c>
      <x:c r="D211" s="3" t="inlineStr">
        <x:is>
          <x:t xml:space="preserve">Campo Grande</x:t>
        </x:is>
      </x:c>
      <x:c r="E211" s="2" t="inlineStr">
        <x:is>
          <x:t xml:space="preserve">MS</x:t>
        </x:is>
      </x:c>
      <x:c r="F211" s="2" t="inlineStr">
        <x:is>
          <x:t xml:space="preserve">Centro-Oeste</x:t>
        </x:is>
      </x:c>
      <x:c r="G211" s="3" t="inlineStr">
        <x:is>
          <x:t xml:space="preserve">+55 67 3326-7024</x:t>
        </x:is>
      </x:c>
      <x:c r="H211" s="3" t="inlineStr">
        <x:is>
          <x:t xml:space="preserve">Av. Ceará, 2260 - Jd. Autonomista</x:t>
        </x:is>
      </x:c>
      <x:c r="I211" s="4" t="n">
        <x:v>4.6</x:v>
      </x:c>
      <x:c r="J211" s="2" t="n">
        <x:v>62</x:v>
      </x:c>
      <x:c r="K211" s="2" t="n">
        <x:f>IF(OR(I211="",J211=""),"",IFERROR(ROUND(I211*LN(J211+1),1),""))</x:f>
        <x:v>19.1</x:v>
      </x:c>
      <x:c r="L211" s="2" t="str">
        <x:f>IF(K211="","Sem dados - qualificar",IF(K211&gt;=15,"A - Alta",IF(K211&gt;=8,"B - Média","C - Baixa")))</x:f>
        <x:v>A - Alta</x:v>
      </x:c>
      <x:c r="M211" s="2" t="inlineStr">
        <x:is>
          <x:t xml:space="preserve">Não contatado</x:t>
        </x:is>
      </x:c>
      <x:c r="N211" s="3" t="inlineStr">
        <x:is>
          <x:t xml:space="preserve"/>
        </x:is>
      </x:c>
      <x:c r="O211" s="3" t="inlineStr">
        <x:is>
          <x:t xml:space="preserve"/>
        </x:is>
      </x:c>
      <x:c r="P211" s="26" t="str"/>
      <x:c r="Q211" s="3" t="inlineStr">
        <x:is>
          <x:t xml:space="preserve"/>
        </x:is>
      </x:c>
      <x:c r="R211" s="5" t="n"/>
      <x:c r="S211" s="3" t="inlineStr">
        <x:is>
          <x:t xml:space="preserve"/>
        </x:is>
      </x:c>
      <x:c r="T211" s="3" t="inlineStr">
        <x:is>
          <x:t xml:space="preserve"/>
        </x:is>
      </x:c>
      <x:c r="U211" s="26" t="str">
        <x:v>Não localizado em fonte pública confiável até 24/07/2026</x:v>
      </x:c>
    </x:row>
    <x:row r="212">
      <x:c r="A212" s="2" t="n">
        <x:v>211</x:v>
      </x:c>
      <x:c r="B212" s="3" t="inlineStr">
        <x:is>
          <x:t xml:space="preserve">Integral Vedação</x:t>
        </x:is>
      </x:c>
      <x:c r="C212" s="3" t="inlineStr">
        <x:is>
          <x:t xml:space="preserve">Vedações</x:t>
        </x:is>
      </x:c>
      <x:c r="D212" s="3" t="inlineStr">
        <x:is>
          <x:t xml:space="preserve">Rondonópolis</x:t>
        </x:is>
      </x:c>
      <x:c r="E212" s="2" t="inlineStr">
        <x:is>
          <x:t xml:space="preserve">MT</x:t>
        </x:is>
      </x:c>
      <x:c r="F212" s="2" t="inlineStr">
        <x:is>
          <x:t xml:space="preserve">Centro-Oeste</x:t>
        </x:is>
      </x:c>
      <x:c r="G212" s="3" t="inlineStr">
        <x:is>
          <x:t xml:space="preserve">+55 66 98103-7341</x:t>
        </x:is>
      </x:c>
      <x:c r="H212" s="3" t="inlineStr">
        <x:is>
          <x:t xml:space="preserve">R. Cafelândia, 232 - La Salle II</x:t>
        </x:is>
      </x:c>
      <x:c r="I212" s="4" t="n">
        <x:v>5</x:v>
      </x:c>
      <x:c r="J212" s="2" t="n">
        <x:v>3</x:v>
      </x:c>
      <x:c r="K212" s="2" t="n">
        <x:f>IF(OR(I212="",J212=""),"",IFERROR(ROUND(I212*LN(J212+1),1),""))</x:f>
        <x:v>6.9</x:v>
      </x:c>
      <x:c r="L212" s="2" t="str">
        <x:f>IF(K212="","Sem dados - qualificar",IF(K212&gt;=15,"A - Alta",IF(K212&gt;=8,"B - Média","C - Baixa")))</x:f>
        <x:v>C - Baixa</x:v>
      </x:c>
      <x:c r="M212" s="2" t="inlineStr">
        <x:is>
          <x:t xml:space="preserve">Não contatado</x:t>
        </x:is>
      </x:c>
      <x:c r="N212" s="3" t="inlineStr">
        <x:is>
          <x:t xml:space="preserve"/>
        </x:is>
      </x:c>
      <x:c r="O212" s="3" t="inlineStr">
        <x:is>
          <x:t xml:space="preserve"/>
        </x:is>
      </x:c>
      <x:c r="P212" s="26" t="str"/>
      <x:c r="Q212" s="3" t="inlineStr">
        <x:is>
          <x:t xml:space="preserve"/>
        </x:is>
      </x:c>
      <x:c r="R212" s="5" t="n"/>
      <x:c r="S212" s="3" t="inlineStr">
        <x:is>
          <x:t xml:space="preserve"/>
        </x:is>
      </x:c>
      <x:c r="T212" s="3" t="inlineStr">
        <x:is>
          <x:t xml:space="preserve"/>
        </x:is>
      </x:c>
      <x:c r="U212" s="26" t="str">
        <x:v>Não localizado em fonte pública confiável até 24/07/2026</x:v>
      </x:c>
    </x:row>
    <x:row r="213">
      <x:c r="A213" s="2" t="n">
        <x:v>212</x:v>
      </x:c>
      <x:c r="B213" s="3" t="inlineStr">
        <x:is>
          <x:t xml:space="preserve">LM Peças e Vedações Hidráulicas</x:t>
        </x:is>
      </x:c>
      <x:c r="C213" s="3" t="inlineStr">
        <x:is>
          <x:t xml:space="preserve">Hidráulica/Vedações</x:t>
        </x:is>
      </x:c>
      <x:c r="D213" s="3" t="inlineStr">
        <x:is>
          <x:t xml:space="preserve">Rondonópolis</x:t>
        </x:is>
      </x:c>
      <x:c r="E213" s="2" t="inlineStr">
        <x:is>
          <x:t xml:space="preserve">MT</x:t>
        </x:is>
      </x:c>
      <x:c r="F213" s="2" t="inlineStr">
        <x:is>
          <x:t xml:space="preserve">Centro-Oeste</x:t>
        </x:is>
      </x:c>
      <x:c r="G213" s="3" t="inlineStr">
        <x:is>
          <x:t xml:space="preserve">+55 66 99686-2233</x:t>
        </x:is>
      </x:c>
      <x:c r="H213" s="3" t="inlineStr">
        <x:is>
          <x:t xml:space="preserve">R. Dr. Reinaldo A. de A. Costa, 2226</x:t>
        </x:is>
      </x:c>
      <x:c r="I213" s="4" t="n">
        <x:v>5</x:v>
      </x:c>
      <x:c r="J213" s="2" t="n">
        <x:v>7</x:v>
      </x:c>
      <x:c r="K213" s="2" t="n">
        <x:f>IF(OR(I213="",J213=""),"",IFERROR(ROUND(I213*LN(J213+1),1),""))</x:f>
        <x:v>10.4</x:v>
      </x:c>
      <x:c r="L213" s="2" t="str">
        <x:f>IF(K213="","Sem dados - qualificar",IF(K213&gt;=15,"A - Alta",IF(K213&gt;=8,"B - Média","C - Baixa")))</x:f>
        <x:v>B - Média</x:v>
      </x:c>
      <x:c r="M213" s="2" t="inlineStr">
        <x:is>
          <x:t xml:space="preserve">Não contatado</x:t>
        </x:is>
      </x:c>
      <x:c r="N213" s="3" t="inlineStr">
        <x:is>
          <x:t xml:space="preserve"/>
        </x:is>
      </x:c>
      <x:c r="O213" s="3" t="inlineStr">
        <x:is>
          <x:t xml:space="preserve"/>
        </x:is>
      </x:c>
      <x:c r="P213" s="26" t="str"/>
      <x:c r="Q213" s="3" t="inlineStr">
        <x:is>
          <x:t xml:space="preserve"/>
        </x:is>
      </x:c>
      <x:c r="R213" s="5" t="n"/>
      <x:c r="S213" s="3" t="inlineStr">
        <x:is>
          <x:t xml:space="preserve"/>
        </x:is>
      </x:c>
      <x:c r="T213" s="3" t="inlineStr">
        <x:is>
          <x:t xml:space="preserve"/>
        </x:is>
      </x:c>
      <x:c r="U213" s="26" t="str">
        <x:v>Não localizado em fonte pública confiável até 24/07/2026</x:v>
      </x:c>
    </x:row>
    <x:row r="214">
      <x:c r="A214" s="2" t="n">
        <x:v>213</x:v>
      </x:c>
      <x:c r="B214" s="3" t="inlineStr">
        <x:is>
          <x:t xml:space="preserve">Hidráulica Sinop</x:t>
        </x:is>
      </x:c>
      <x:c r="C214" s="3" t="inlineStr">
        <x:is>
          <x:t xml:space="preserve">Hidráulica/Vedações</x:t>
        </x:is>
      </x:c>
      <x:c r="D214" s="3" t="inlineStr">
        <x:is>
          <x:t xml:space="preserve">Sinop</x:t>
        </x:is>
      </x:c>
      <x:c r="E214" s="2" t="inlineStr">
        <x:is>
          <x:t xml:space="preserve">MT</x:t>
        </x:is>
      </x:c>
      <x:c r="F214" s="2" t="inlineStr">
        <x:is>
          <x:t xml:space="preserve">Centro-Oeste</x:t>
        </x:is>
      </x:c>
      <x:c r="G214" s="3" t="inlineStr">
        <x:is>
          <x:t xml:space="preserve">+55 66 3532-2883</x:t>
        </x:is>
      </x:c>
      <x:c r="H214" s="3" t="inlineStr">
        <x:is>
          <x:t xml:space="preserve">R. Waldir Doerner, 801 - Industrial</x:t>
        </x:is>
      </x:c>
      <x:c r="I214" s="4" t="n">
        <x:v>4.7</x:v>
      </x:c>
      <x:c r="J214" s="2" t="n">
        <x:v>15</x:v>
      </x:c>
      <x:c r="K214" s="2" t="n">
        <x:f>IF(OR(I214="",J214=""),"",IFERROR(ROUND(I214*LN(J214+1),1),""))</x:f>
        <x:v>13</x:v>
      </x:c>
      <x:c r="L214" s="2" t="str">
        <x:f>IF(K214="","Sem dados - qualificar",IF(K214&gt;=15,"A - Alta",IF(K214&gt;=8,"B - Média","C - Baixa")))</x:f>
        <x:v>B - Média</x:v>
      </x:c>
      <x:c r="M214" s="2" t="inlineStr">
        <x:is>
          <x:t xml:space="preserve">Não contatado</x:t>
        </x:is>
      </x:c>
      <x:c r="N214" s="3" t="inlineStr">
        <x:is>
          <x:t xml:space="preserve"/>
        </x:is>
      </x:c>
      <x:c r="O214" s="3" t="inlineStr">
        <x:is>
          <x:t xml:space="preserve"/>
        </x:is>
      </x:c>
      <x:c r="P214" s="26" t="str"/>
      <x:c r="Q214" s="3" t="inlineStr">
        <x:is>
          <x:t xml:space="preserve"/>
        </x:is>
      </x:c>
      <x:c r="R214" s="5" t="n"/>
      <x:c r="S214" s="3" t="inlineStr">
        <x:is>
          <x:t xml:space="preserve"/>
        </x:is>
      </x:c>
      <x:c r="T214" s="3" t="inlineStr">
        <x:is>
          <x:t xml:space="preserve"/>
        </x:is>
      </x:c>
      <x:c r="U214" s="26" t="str">
        <x:v>Não localizado em fonte pública confiável até 24/07/2026</x:v>
      </x:c>
    </x:row>
    <x:row r="215">
      <x:c r="A215" s="2" t="n">
        <x:v>214</x:v>
      </x:c>
      <x:c r="B215" s="3" t="inlineStr">
        <x:is>
          <x:t xml:space="preserve">Hidráulica Brasil</x:t>
        </x:is>
      </x:c>
      <x:c r="C215" s="3" t="inlineStr">
        <x:is>
          <x:t xml:space="preserve">Hidráulica/Vedações</x:t>
        </x:is>
      </x:c>
      <x:c r="D215" s="3" t="inlineStr">
        <x:is>
          <x:t xml:space="preserve">Sorriso</x:t>
        </x:is>
      </x:c>
      <x:c r="E215" s="2" t="inlineStr">
        <x:is>
          <x:t xml:space="preserve">MT</x:t>
        </x:is>
      </x:c>
      <x:c r="F215" s="2" t="inlineStr">
        <x:is>
          <x:t xml:space="preserve">Centro-Oeste</x:t>
        </x:is>
      </x:c>
      <x:c r="G215" s="3" t="inlineStr">
        <x:is>
          <x:t xml:space="preserve">+55 66 99632-9949</x:t>
        </x:is>
      </x:c>
      <x:c r="H215" s="3" t="inlineStr">
        <x:is>
          <x:t xml:space="preserve">BR-242, 962 - Setor Industrial</x:t>
        </x:is>
      </x:c>
      <x:c r="I215" s="4" t="n">
        <x:v>4.2</x:v>
      </x:c>
      <x:c r="J215" s="2" t="n">
        <x:v>27</x:v>
      </x:c>
      <x:c r="K215" s="2" t="n">
        <x:f>IF(OR(I215="",J215=""),"",IFERROR(ROUND(I215*LN(J215+1),1),""))</x:f>
        <x:v>14</x:v>
      </x:c>
      <x:c r="L215" s="2" t="str">
        <x:f>IF(K215="","Sem dados - qualificar",IF(K215&gt;=15,"A - Alta",IF(K215&gt;=8,"B - Média","C - Baixa")))</x:f>
        <x:v>B - Média</x:v>
      </x:c>
      <x:c r="M215" s="2" t="inlineStr">
        <x:is>
          <x:t xml:space="preserve">Não contatado</x:t>
        </x:is>
      </x:c>
      <x:c r="N215" s="3" t="inlineStr">
        <x:is>
          <x:t xml:space="preserve"/>
        </x:is>
      </x:c>
      <x:c r="O215" s="3" t="inlineStr">
        <x:is>
          <x:t xml:space="preserve"/>
        </x:is>
      </x:c>
      <x:c r="P215" s="26" t="str">
        <x:v>nortebrasil-mt@uol.com.br</x:v>
      </x:c>
      <x:c r="Q215" s="3" t="inlineStr">
        <x:is>
          <x:t xml:space="preserve"/>
        </x:is>
      </x:c>
      <x:c r="R215" s="5" t="n"/>
      <x:c r="S215" s="3" t="inlineStr">
        <x:is>
          <x:t xml:space="preserve"/>
        </x:is>
      </x:c>
      <x:c r="T215" s="3" t="inlineStr">
        <x:is>
          <x:t xml:space="preserve"/>
        </x:is>
      </x:c>
      <x:c r="U215" s="26" t="str">
        <x:v>https://www.autoguiabr.com.br/hidraulicabrasil/fale.htm</x:v>
      </x:c>
    </x:row>
    <x:row r="216">
      <x:c r="A216" s="2" t="n">
        <x:v>215</x:v>
      </x:c>
      <x:c r="B216" s="3" t="inlineStr">
        <x:is>
          <x:t xml:space="preserve">Hidráulica Hidráumaq</x:t>
        </x:is>
      </x:c>
      <x:c r="C216" s="3" t="inlineStr">
        <x:is>
          <x:t xml:space="preserve">Hidráulica/Vedações</x:t>
        </x:is>
      </x:c>
      <x:c r="D216" s="3" t="inlineStr">
        <x:is>
          <x:t xml:space="preserve">Sorriso</x:t>
        </x:is>
      </x:c>
      <x:c r="E216" s="2" t="inlineStr">
        <x:is>
          <x:t xml:space="preserve">MT</x:t>
        </x:is>
      </x:c>
      <x:c r="F216" s="2" t="inlineStr">
        <x:is>
          <x:t xml:space="preserve">Centro-Oeste</x:t>
        </x:is>
      </x:c>
      <x:c r="G216" s="3" t="inlineStr">
        <x:is>
          <x:t xml:space="preserve">+55 66 3544-8667</x:t>
        </x:is>
      </x:c>
      <x:c r="H216" s="3" t="inlineStr">
        <x:is>
          <x:t xml:space="preserve">Av. Idemar Riedi, 8750 - Lot. Valo</x:t>
        </x:is>
      </x:c>
      <x:c r="I216" s="4" t="n">
        <x:v>4.5</x:v>
      </x:c>
      <x:c r="J216" s="2" t="n">
        <x:v>54</x:v>
      </x:c>
      <x:c r="K216" s="2" t="n">
        <x:f>IF(OR(I216="",J216=""),"",IFERROR(ROUND(I216*LN(J216+1),1),""))</x:f>
        <x:v>18</x:v>
      </x:c>
      <x:c r="L216" s="2" t="str">
        <x:f>IF(K216="","Sem dados - qualificar",IF(K216&gt;=15,"A - Alta",IF(K216&gt;=8,"B - Média","C - Baixa")))</x:f>
        <x:v>A - Alta</x:v>
      </x:c>
      <x:c r="M216" s="2" t="inlineStr">
        <x:is>
          <x:t xml:space="preserve">Não contatado</x:t>
        </x:is>
      </x:c>
      <x:c r="N216" s="3" t="inlineStr">
        <x:is>
          <x:t xml:space="preserve"/>
        </x:is>
      </x:c>
      <x:c r="O216" s="3" t="inlineStr">
        <x:is>
          <x:t xml:space="preserve"/>
        </x:is>
      </x:c>
      <x:c r="P216" s="26" t="str">
        <x:v>contato@hidraumaq.com.br</x:v>
      </x:c>
      <x:c r="Q216" s="3" t="inlineStr">
        <x:is>
          <x:t xml:space="preserve"/>
        </x:is>
      </x:c>
      <x:c r="R216" s="5" t="n"/>
      <x:c r="S216" s="3" t="inlineStr">
        <x:is>
          <x:t xml:space="preserve"/>
        </x:is>
      </x:c>
      <x:c r="T216" s="3" t="inlineStr">
        <x:is>
          <x:t xml:space="preserve"/>
        </x:is>
      </x:c>
      <x:c r="U216" s="26" t="str">
        <x:v>https://www.hidraumaq.com.br/223-produto-motor-hidraulico-eaton</x:v>
      </x:c>
    </x:row>
    <x:row r="217">
      <x:c r="A217" s="2" t="n">
        <x:v>216</x:v>
      </x:c>
      <x:c r="B217" s="3" t="inlineStr">
        <x:is>
          <x:t xml:space="preserve">Hidráulica Sorriso</x:t>
        </x:is>
      </x:c>
      <x:c r="C217" s="3" t="inlineStr">
        <x:is>
          <x:t xml:space="preserve">Hidráulica/Vedações</x:t>
        </x:is>
      </x:c>
      <x:c r="D217" s="3" t="inlineStr">
        <x:is>
          <x:t xml:space="preserve">Sorriso</x:t>
        </x:is>
      </x:c>
      <x:c r="E217" s="2" t="inlineStr">
        <x:is>
          <x:t xml:space="preserve">MT</x:t>
        </x:is>
      </x:c>
      <x:c r="F217" s="2" t="inlineStr">
        <x:is>
          <x:t xml:space="preserve">Centro-Oeste</x:t>
        </x:is>
      </x:c>
      <x:c r="G217" s="3" t="inlineStr">
        <x:is>
          <x:t xml:space="preserve">+55 66 3544-3181</x:t>
        </x:is>
      </x:c>
      <x:c r="H217" s="3" t="inlineStr">
        <x:is>
          <x:t xml:space="preserve">Perimetral Sudeste, 9263 - Jd. Califórnia</x:t>
        </x:is>
      </x:c>
      <x:c r="I217" s="4" t="n">
        <x:v>4.9</x:v>
      </x:c>
      <x:c r="J217" s="2" t="n">
        <x:v>27</x:v>
      </x:c>
      <x:c r="K217" s="2" t="n">
        <x:f>IF(OR(I217="",J217=""),"",IFERROR(ROUND(I217*LN(J217+1),1),""))</x:f>
        <x:v>16.3</x:v>
      </x:c>
      <x:c r="L217" s="2" t="str">
        <x:f>IF(K217="","Sem dados - qualificar",IF(K217&gt;=15,"A - Alta",IF(K217&gt;=8,"B - Média","C - Baixa")))</x:f>
        <x:v>A - Alta</x:v>
      </x:c>
      <x:c r="M217" s="2" t="inlineStr">
        <x:is>
          <x:t xml:space="preserve">Não contatado</x:t>
        </x:is>
      </x:c>
      <x:c r="N217" s="3" t="inlineStr">
        <x:is>
          <x:t xml:space="preserve"/>
        </x:is>
      </x:c>
      <x:c r="O217" s="3" t="inlineStr">
        <x:is>
          <x:t xml:space="preserve"/>
        </x:is>
      </x:c>
      <x:c r="P217" s="26" t="str"/>
      <x:c r="Q217" s="3" t="inlineStr">
        <x:is>
          <x:t xml:space="preserve"/>
        </x:is>
      </x:c>
      <x:c r="R217" s="5" t="n"/>
      <x:c r="S217" s="3" t="inlineStr">
        <x:is>
          <x:t xml:space="preserve"/>
        </x:is>
      </x:c>
      <x:c r="T217" s="3" t="inlineStr">
        <x:is>
          <x:t xml:space="preserve"/>
        </x:is>
      </x:c>
      <x:c r="U217" s="26" t="str">
        <x:v>Não localizado em fonte pública confiável até 24/07/2026</x:v>
      </x:c>
    </x:row>
    <x:row r="218">
      <x:c r="A218" s="2" t="n">
        <x:v>217</x:v>
      </x:c>
      <x:c r="B218" s="3" t="inlineStr">
        <x:is>
          <x:t xml:space="preserve">Hyclaf Peças Hidráulicas</x:t>
        </x:is>
      </x:c>
      <x:c r="C218" s="3" t="inlineStr">
        <x:is>
          <x:t xml:space="preserve">Hidráulica/Vedações</x:t>
        </x:is>
      </x:c>
      <x:c r="D218" s="3" t="inlineStr">
        <x:is>
          <x:t xml:space="preserve">Sorriso</x:t>
        </x:is>
      </x:c>
      <x:c r="E218" s="2" t="inlineStr">
        <x:is>
          <x:t xml:space="preserve">MT</x:t>
        </x:is>
      </x:c>
      <x:c r="F218" s="2" t="inlineStr">
        <x:is>
          <x:t xml:space="preserve">Centro-Oeste</x:t>
        </x:is>
      </x:c>
      <x:c r="G218" s="3" t="inlineStr">
        <x:is>
          <x:t xml:space="preserve">+55 66 99220-5056</x:t>
        </x:is>
      </x:c>
      <x:c r="H218" s="3" t="inlineStr">
        <x:is>
          <x:t xml:space="preserve">R. Flores da Cunha, 2224 - Masterville</x:t>
        </x:is>
      </x:c>
      <x:c r="I218" s="4" t="n">
        <x:v>5</x:v>
      </x:c>
      <x:c r="J218" s="2" t="n">
        <x:v>4</x:v>
      </x:c>
      <x:c r="K218" s="2" t="n">
        <x:f>IF(OR(I218="",J218=""),"",IFERROR(ROUND(I218*LN(J218+1),1),""))</x:f>
        <x:v>8</x:v>
      </x:c>
      <x:c r="L218" s="2" t="str">
        <x:f>IF(K218="","Sem dados - qualificar",IF(K218&gt;=15,"A - Alta",IF(K218&gt;=8,"B - Média","C - Baixa")))</x:f>
        <x:v>B - Média</x:v>
      </x:c>
      <x:c r="M218" s="2" t="inlineStr">
        <x:is>
          <x:t xml:space="preserve">Não contatado</x:t>
        </x:is>
      </x:c>
      <x:c r="N218" s="3" t="inlineStr">
        <x:is>
          <x:t xml:space="preserve"/>
        </x:is>
      </x:c>
      <x:c r="O218" s="3" t="inlineStr">
        <x:is>
          <x:t xml:space="preserve"/>
        </x:is>
      </x:c>
      <x:c r="P218" s="26" t="str"/>
      <x:c r="Q218" s="3" t="inlineStr">
        <x:is>
          <x:t xml:space="preserve"/>
        </x:is>
      </x:c>
      <x:c r="R218" s="5" t="n"/>
      <x:c r="S218" s="3" t="inlineStr">
        <x:is>
          <x:t xml:space="preserve"/>
        </x:is>
      </x:c>
      <x:c r="T218" s="3" t="inlineStr">
        <x:is>
          <x:t xml:space="preserve"/>
        </x:is>
      </x:c>
      <x:c r="U218" s="26" t="str">
        <x:v>Não localizado em fonte pública confiável até 24/07/2026</x:v>
      </x:c>
    </x:row>
    <x:row r="219">
      <x:c r="A219" s="2" t="n">
        <x:v>218</x:v>
      </x:c>
      <x:c r="B219" s="3" t="inlineStr">
        <x:is>
          <x:t xml:space="preserve">Hidropec Comércio de Vedações</x:t>
        </x:is>
      </x:c>
      <x:c r="C219" s="3" t="inlineStr">
        <x:is>
          <x:t xml:space="preserve">Vedações</x:t>
        </x:is>
      </x:c>
      <x:c r="D219" s="3" t="inlineStr">
        <x:is>
          <x:t xml:space="preserve">Várzea Grande</x:t>
        </x:is>
      </x:c>
      <x:c r="E219" s="2" t="inlineStr">
        <x:is>
          <x:t xml:space="preserve">MT</x:t>
        </x:is>
      </x:c>
      <x:c r="F219" s="2" t="inlineStr">
        <x:is>
          <x:t xml:space="preserve">Centro-Oeste</x:t>
        </x:is>
      </x:c>
      <x:c r="G219" s="3" t="inlineStr">
        <x:is>
          <x:t xml:space="preserve">+55 65 3682-6296</x:t>
        </x:is>
      </x:c>
      <x:c r="H219" s="3" t="inlineStr">
        <x:is>
          <x:t xml:space="preserve">Av. Ulisses P. de Campos, 1460 A</x:t>
        </x:is>
      </x:c>
      <x:c r="I219" s="4" t="n">
        <x:v>4.9</x:v>
      </x:c>
      <x:c r="J219" s="2" t="n">
        <x:v>20</x:v>
      </x:c>
      <x:c r="K219" s="2" t="n">
        <x:f>IF(OR(I219="",J219=""),"",IFERROR(ROUND(I219*LN(J219+1),1),""))</x:f>
        <x:v>14.9</x:v>
      </x:c>
      <x:c r="L219" s="2" t="str">
        <x:f>IF(K219="","Sem dados - qualificar",IF(K219&gt;=15,"A - Alta",IF(K219&gt;=8,"B - Média","C - Baixa")))</x:f>
        <x:v>B - Média</x:v>
      </x:c>
      <x:c r="M219" s="2" t="inlineStr">
        <x:is>
          <x:t xml:space="preserve">Não contatado</x:t>
        </x:is>
      </x:c>
      <x:c r="N219" s="3" t="inlineStr">
        <x:is>
          <x:t xml:space="preserve"/>
        </x:is>
      </x:c>
      <x:c r="O219" s="3" t="inlineStr">
        <x:is>
          <x:t xml:space="preserve"/>
        </x:is>
      </x:c>
      <x:c r="P219" s="26" t="str"/>
      <x:c r="Q219" s="3" t="inlineStr">
        <x:is>
          <x:t xml:space="preserve"/>
        </x:is>
      </x:c>
      <x:c r="R219" s="5" t="n"/>
      <x:c r="S219" s="3" t="inlineStr">
        <x:is>
          <x:t xml:space="preserve"/>
        </x:is>
      </x:c>
      <x:c r="T219" s="3" t="inlineStr">
        <x:is>
          <x:t xml:space="preserve"/>
        </x:is>
      </x:c>
      <x:c r="U219" s="26" t="str">
        <x:v>Não localizado em fonte pública confiável até 24/07/2026</x:v>
      </x:c>
    </x:row>
    <x:row r="220">
      <x:c r="A220" s="2" t="n">
        <x:v>219</x:v>
      </x:c>
      <x:c r="B220" s="3" t="inlineStr">
        <x:is>
          <x:t xml:space="preserve">Vedacom Distribuidora</x:t>
        </x:is>
      </x:c>
      <x:c r="C220" s="3" t="inlineStr">
        <x:is>
          <x:t xml:space="preserve">Distribuidora</x:t>
        </x:is>
      </x:c>
      <x:c r="D220" s="3" t="inlineStr">
        <x:is>
          <x:t xml:space="preserve">Várzea Grande</x:t>
        </x:is>
      </x:c>
      <x:c r="E220" s="2" t="inlineStr">
        <x:is>
          <x:t xml:space="preserve">MT</x:t>
        </x:is>
      </x:c>
      <x:c r="F220" s="2" t="inlineStr">
        <x:is>
          <x:t xml:space="preserve">Centro-Oeste</x:t>
        </x:is>
      </x:c>
      <x:c r="G220" s="3" t="inlineStr">
        <x:is>
          <x:t xml:space="preserve">+55 65 3624-2431</x:t>
        </x:is>
      </x:c>
      <x:c r="H220" s="3" t="inlineStr">
        <x:is>
          <x:t xml:space="preserve">Av. Ulisses P. de Campos - Centro Norte</x:t>
        </x:is>
      </x:c>
      <x:c r="I220" s="4" t="n">
        <x:v>4.7</x:v>
      </x:c>
      <x:c r="J220" s="2" t="n">
        <x:v>31</x:v>
      </x:c>
      <x:c r="K220" s="2" t="n">
        <x:f>IF(OR(I220="",J220=""),"",IFERROR(ROUND(I220*LN(J220+1),1),""))</x:f>
        <x:v>16.3</x:v>
      </x:c>
      <x:c r="L220" s="2" t="str">
        <x:f>IF(K220="","Sem dados - qualificar",IF(K220&gt;=15,"A - Alta",IF(K220&gt;=8,"B - Média","C - Baixa")))</x:f>
        <x:v>A - Alta</x:v>
      </x:c>
      <x:c r="M220" s="2" t="inlineStr">
        <x:is>
          <x:t xml:space="preserve">Não contatado</x:t>
        </x:is>
      </x:c>
      <x:c r="N220" s="3" t="inlineStr">
        <x:is>
          <x:t xml:space="preserve"/>
        </x:is>
      </x:c>
      <x:c r="O220" s="3" t="inlineStr">
        <x:is>
          <x:t xml:space="preserve"/>
        </x:is>
      </x:c>
      <x:c r="P220" s="26" t="str"/>
      <x:c r="Q220" s="3" t="inlineStr">
        <x:is>
          <x:t xml:space="preserve"/>
        </x:is>
      </x:c>
      <x:c r="R220" s="5" t="n"/>
      <x:c r="S220" s="3" t="inlineStr">
        <x:is>
          <x:t xml:space="preserve"/>
        </x:is>
      </x:c>
      <x:c r="T220" s="3" t="inlineStr">
        <x:is>
          <x:t xml:space="preserve"/>
        </x:is>
      </x:c>
      <x:c r="U220" s="26" t="str">
        <x:v>Não localizado em fonte pública confiável até 24/07/2026</x:v>
      </x:c>
    </x:row>
    <x:row r="221">
      <x:c r="A221" s="2" t="n">
        <x:v>220</x:v>
      </x:c>
      <x:c r="B221" s="3" t="inlineStr">
        <x:is>
          <x:t xml:space="preserve">Vedavel Comércio de Vedações Industriais</x:t>
        </x:is>
      </x:c>
      <x:c r="C221" s="3" t="inlineStr">
        <x:is>
          <x:t xml:space="preserve">Vedações</x:t>
        </x:is>
      </x:c>
      <x:c r="D221" s="3" t="inlineStr">
        <x:is>
          <x:t xml:space="preserve">Camaçari</x:t>
        </x:is>
      </x:c>
      <x:c r="E221" s="2" t="inlineStr">
        <x:is>
          <x:t xml:space="preserve">BA</x:t>
        </x:is>
      </x:c>
      <x:c r="F221" s="2" t="inlineStr">
        <x:is>
          <x:t xml:space="preserve">Nordeste</x:t>
        </x:is>
      </x:c>
      <x:c r="G221" s="3" t="inlineStr">
        <x:is>
          <x:t xml:space="preserve">+55 71 3301-4724</x:t>
        </x:is>
      </x:c>
      <x:c r="H221" s="3" t="inlineStr">
        <x:is>
          <x:t xml:space="preserve">Av. Dr. Manoel Mercês, 21 - Mangueiral</x:t>
        </x:is>
      </x:c>
      <x:c r="I221" s="4" t="n">
        <x:v>4.8</x:v>
      </x:c>
      <x:c r="J221" s="2" t="n">
        <x:v>8</x:v>
      </x:c>
      <x:c r="K221" s="2" t="n">
        <x:f>IF(OR(I221="",J221=""),"",IFERROR(ROUND(I221*LN(J221+1),1),""))</x:f>
        <x:v>10.5</x:v>
      </x:c>
      <x:c r="L221" s="2" t="str">
        <x:f>IF(K221="","Sem dados - qualificar",IF(K221&gt;=15,"A - Alta",IF(K221&gt;=8,"B - Média","C - Baixa")))</x:f>
        <x:v>B - Média</x:v>
      </x:c>
      <x:c r="M221" s="2" t="inlineStr">
        <x:is>
          <x:t xml:space="preserve">Não contatado</x:t>
        </x:is>
      </x:c>
      <x:c r="N221" s="3" t="inlineStr">
        <x:is>
          <x:t xml:space="preserve"/>
        </x:is>
      </x:c>
      <x:c r="O221" s="3" t="inlineStr">
        <x:is>
          <x:t xml:space="preserve"/>
        </x:is>
      </x:c>
      <x:c r="P221" s="26" t="str">
        <x:v>vedavel@vedavel.com.br</x:v>
      </x:c>
      <x:c r="Q221" s="3" t="inlineStr">
        <x:is>
          <x:t xml:space="preserve"/>
        </x:is>
      </x:c>
      <x:c r="R221" s="5" t="n"/>
      <x:c r="S221" s="3" t="inlineStr">
        <x:is>
          <x:t xml:space="preserve"/>
        </x:is>
      </x:c>
      <x:c r="T221" s="3" t="inlineStr">
        <x:is>
          <x:t xml:space="preserve"/>
        </x:is>
      </x:c>
      <x:c r="U221" s="26" t="str">
        <x:v>https://vedavel.com.br/contato.php</x:v>
      </x:c>
    </x:row>
    <x:row r="222">
      <x:c r="A222" s="2" t="n">
        <x:v>221</x:v>
      </x:c>
      <x:c r="B222" s="3" t="inlineStr">
        <x:is>
          <x:t xml:space="preserve">BME Retentores e Rolamentos</x:t>
        </x:is>
      </x:c>
      <x:c r="C222" s="3" t="inlineStr">
        <x:is>
          <x:t xml:space="preserve">Rolamentos/Vedações</x:t>
        </x:is>
      </x:c>
      <x:c r="D222" s="3" t="inlineStr">
        <x:is>
          <x:t xml:space="preserve">Salvador</x:t>
        </x:is>
      </x:c>
      <x:c r="E222" s="2" t="inlineStr">
        <x:is>
          <x:t xml:space="preserve">BA</x:t>
        </x:is>
      </x:c>
      <x:c r="F222" s="2" t="inlineStr">
        <x:is>
          <x:t xml:space="preserve">Nordeste</x:t>
        </x:is>
      </x:c>
      <x:c r="G222" s="3" t="inlineStr">
        <x:is>
          <x:t xml:space="preserve">+55 71 99346-4071</x:t>
        </x:is>
      </x:c>
      <x:c r="H222" s="3" t="inlineStr">
        <x:is>
          <x:t xml:space="preserve">Estr. de Campinas, 280 - Campinas de Pirajá</x:t>
        </x:is>
      </x:c>
      <x:c r="I222" s="4" t="n">
        <x:v>4.9</x:v>
      </x:c>
      <x:c r="J222" s="2" t="n">
        <x:v>69</x:v>
      </x:c>
      <x:c r="K222" s="2" t="n">
        <x:f>IF(OR(I222="",J222=""),"",IFERROR(ROUND(I222*LN(J222+1),1),""))</x:f>
        <x:v>20.8</x:v>
      </x:c>
      <x:c r="L222" s="2" t="str">
        <x:f>IF(K222="","Sem dados - qualificar",IF(K222&gt;=15,"A - Alta",IF(K222&gt;=8,"B - Média","C - Baixa")))</x:f>
        <x:v>A - Alta</x:v>
      </x:c>
      <x:c r="M222" s="2" t="inlineStr">
        <x:is>
          <x:t xml:space="preserve">Não contatado</x:t>
        </x:is>
      </x:c>
      <x:c r="N222" s="3" t="inlineStr">
        <x:is>
          <x:t xml:space="preserve"/>
        </x:is>
      </x:c>
      <x:c r="O222" s="3" t="inlineStr">
        <x:is>
          <x:t xml:space="preserve"/>
        </x:is>
      </x:c>
      <x:c r="P222" s="26" t="str"/>
      <x:c r="Q222" s="3" t="inlineStr">
        <x:is>
          <x:t xml:space="preserve"/>
        </x:is>
      </x:c>
      <x:c r="R222" s="5" t="n"/>
      <x:c r="S222" s="3" t="inlineStr">
        <x:is>
          <x:t xml:space="preserve"/>
        </x:is>
      </x:c>
      <x:c r="T222" s="3" t="inlineStr">
        <x:is>
          <x:t xml:space="preserve"/>
        </x:is>
      </x:c>
      <x:c r="U222" s="26" t="str">
        <x:v>Não localizado em fonte pública confiável até 24/07/2026</x:v>
      </x:c>
    </x:row>
    <x:row r="223">
      <x:c r="A223" s="2" t="n">
        <x:v>222</x:v>
      </x:c>
      <x:c r="B223" s="3" t="inlineStr">
        <x:is>
          <x:t xml:space="preserve">Central dos Retentores</x:t>
        </x:is>
      </x:c>
      <x:c r="C223" s="3" t="inlineStr">
        <x:is>
          <x:t xml:space="preserve">Vedações</x:t>
        </x:is>
      </x:c>
      <x:c r="D223" s="3" t="inlineStr">
        <x:is>
          <x:t xml:space="preserve">Salvador</x:t>
        </x:is>
      </x:c>
      <x:c r="E223" s="2" t="inlineStr">
        <x:is>
          <x:t xml:space="preserve">BA</x:t>
        </x:is>
      </x:c>
      <x:c r="F223" s="2" t="inlineStr">
        <x:is>
          <x:t xml:space="preserve">Nordeste</x:t>
        </x:is>
      </x:c>
      <x:c r="G223" s="3" t="inlineStr">
        <x:is>
          <x:t xml:space="preserve">+55 71 3314-1352</x:t>
        </x:is>
      </x:c>
      <x:c r="H223" s="3" t="inlineStr">
        <x:is>
          <x:t xml:space="preserve">Praça dos Mares, 12 - Mares</x:t>
        </x:is>
      </x:c>
      <x:c r="I223" s="4" t="n">
        <x:v>4.6</x:v>
      </x:c>
      <x:c r="J223" s="2" t="n">
        <x:v>15</x:v>
      </x:c>
      <x:c r="K223" s="2" t="n">
        <x:f>IF(OR(I223="",J223=""),"",IFERROR(ROUND(I223*LN(J223+1),1),""))</x:f>
        <x:v>12.8</x:v>
      </x:c>
      <x:c r="L223" s="2" t="str">
        <x:f>IF(K223="","Sem dados - qualificar",IF(K223&gt;=15,"A - Alta",IF(K223&gt;=8,"B - Média","C - Baixa")))</x:f>
        <x:v>B - Média</x:v>
      </x:c>
      <x:c r="M223" s="2" t="inlineStr">
        <x:is>
          <x:t xml:space="preserve">Não contatado</x:t>
        </x:is>
      </x:c>
      <x:c r="N223" s="3" t="inlineStr">
        <x:is>
          <x:t xml:space="preserve"/>
        </x:is>
      </x:c>
      <x:c r="O223" s="3" t="inlineStr">
        <x:is>
          <x:t xml:space="preserve"/>
        </x:is>
      </x:c>
      <x:c r="P223" s="26" t="str"/>
      <x:c r="Q223" s="3" t="inlineStr">
        <x:is>
          <x:t xml:space="preserve"/>
        </x:is>
      </x:c>
      <x:c r="R223" s="5" t="n"/>
      <x:c r="S223" s="3" t="inlineStr">
        <x:is>
          <x:t xml:space="preserve"/>
        </x:is>
      </x:c>
      <x:c r="T223" s="3" t="inlineStr">
        <x:is>
          <x:t xml:space="preserve"/>
        </x:is>
      </x:c>
      <x:c r="U223" s="26" t="str">
        <x:v>Não localizado em fonte pública confiável até 24/07/2026</x:v>
      </x:c>
    </x:row>
    <x:row r="224">
      <x:c r="A224" s="2" t="n">
        <x:v>223</x:v>
      </x:c>
      <x:c r="B224" s="3" t="inlineStr">
        <x:is>
          <x:t xml:space="preserve">Mundo das Vedações</x:t>
        </x:is>
      </x:c>
      <x:c r="C224" s="3" t="inlineStr">
        <x:is>
          <x:t xml:space="preserve">Fabricante/Vedações</x:t>
        </x:is>
      </x:c>
      <x:c r="D224" s="3" t="inlineStr">
        <x:is>
          <x:t xml:space="preserve">Salvador</x:t>
        </x:is>
      </x:c>
      <x:c r="E224" s="2" t="inlineStr">
        <x:is>
          <x:t xml:space="preserve">BA</x:t>
        </x:is>
      </x:c>
      <x:c r="F224" s="2" t="inlineStr">
        <x:is>
          <x:t xml:space="preserve">Nordeste</x:t>
        </x:is>
      </x:c>
      <x:c r="G224" s="3" t="inlineStr">
        <x:is>
          <x:t xml:space="preserve">+55 71 3312-5846</x:t>
        </x:is>
      </x:c>
      <x:c r="H224" s="3" t="inlineStr">
        <x:is>
          <x:t xml:space="preserve">Rua Barão de Cotegipe, 257 - Mares</x:t>
        </x:is>
      </x:c>
      <x:c r="I224" s="4" t="n"/>
      <x:c r="J224" s="2" t="n"/>
      <x:c r="K224" s="2" t="str">
        <x:f>IF(OR(I224="",J224=""),"",IFERROR(ROUND(I224*LN(J224+1),1),""))</x:f>
      </x:c>
      <x:c r="L224" s="2" t="str">
        <x:f>IF(K224="","Sem dados - qualificar",IF(K224&gt;=15,"A - Alta",IF(K224&gt;=8,"B - Média","C - Baixa")))</x:f>
        <x:v>Sem dados - qualificar</x:v>
      </x:c>
      <x:c r="M224" s="2" t="inlineStr">
        <x:is>
          <x:t xml:space="preserve">Não contatado</x:t>
        </x:is>
      </x:c>
      <x:c r="N224" s="3" t="inlineStr">
        <x:is>
          <x:t xml:space="preserve"/>
        </x:is>
      </x:c>
      <x:c r="O224" s="3" t="inlineStr">
        <x:is>
          <x:t xml:space="preserve"/>
        </x:is>
      </x:c>
      <x:c r="P224" s="26" t="str"/>
      <x:c r="Q224" s="3" t="inlineStr">
        <x:is>
          <x:t xml:space="preserve"/>
        </x:is>
      </x:c>
      <x:c r="R224" s="5" t="n"/>
      <x:c r="S224" s="3" t="inlineStr">
        <x:is>
          <x:t xml:space="preserve"/>
        </x:is>
      </x:c>
      <x:c r="T224" s="3" t="inlineStr">
        <x:is>
          <x:t xml:space="preserve"/>
        </x:is>
      </x:c>
      <x:c r="U224" s="26" t="str">
        <x:v>Não localizado em fonte pública confiável até 24/07/2026</x:v>
      </x:c>
    </x:row>
    <x:row r="225">
      <x:c r="A225" s="2" t="n">
        <x:v>224</x:v>
      </x:c>
      <x:c r="B225" s="3" t="inlineStr">
        <x:is>
          <x:t xml:space="preserve">Mundo dos Retentores</x:t>
        </x:is>
      </x:c>
      <x:c r="C225" s="3" t="inlineStr">
        <x:is>
          <x:t xml:space="preserve">Vedações</x:t>
        </x:is>
      </x:c>
      <x:c r="D225" s="3" t="inlineStr">
        <x:is>
          <x:t xml:space="preserve">Salvador</x:t>
        </x:is>
      </x:c>
      <x:c r="E225" s="2" t="inlineStr">
        <x:is>
          <x:t xml:space="preserve">BA</x:t>
        </x:is>
      </x:c>
      <x:c r="F225" s="2" t="inlineStr">
        <x:is>
          <x:t xml:space="preserve">Nordeste</x:t>
        </x:is>
      </x:c>
      <x:c r="G225" s="3" t="inlineStr">
        <x:is>
          <x:t xml:space="preserve">+55 71 3293-3533</x:t>
        </x:is>
      </x:c>
      <x:c r="H225" s="3" t="inlineStr">
        <x:is>
          <x:t xml:space="preserve">Estr. de Campinas, 05 - Campinas de Pirajá</x:t>
        </x:is>
      </x:c>
      <x:c r="I225" s="4" t="n">
        <x:v>4.6</x:v>
      </x:c>
      <x:c r="J225" s="2" t="n">
        <x:v>49</x:v>
      </x:c>
      <x:c r="K225" s="2" t="n">
        <x:f>IF(OR(I225="",J225=""),"",IFERROR(ROUND(I225*LN(J225+1),1),""))</x:f>
        <x:v>18</x:v>
      </x:c>
      <x:c r="L225" s="2" t="str">
        <x:f>IF(K225="","Sem dados - qualificar",IF(K225&gt;=15,"A - Alta",IF(K225&gt;=8,"B - Média","C - Baixa")))</x:f>
        <x:v>A - Alta</x:v>
      </x:c>
      <x:c r="M225" s="2" t="inlineStr">
        <x:is>
          <x:t xml:space="preserve">Não contatado</x:t>
        </x:is>
      </x:c>
      <x:c r="N225" s="3" t="inlineStr">
        <x:is>
          <x:t xml:space="preserve"/>
        </x:is>
      </x:c>
      <x:c r="O225" s="3" t="inlineStr">
        <x:is>
          <x:t xml:space="preserve"/>
        </x:is>
      </x:c>
      <x:c r="P225" s="26" t="str"/>
      <x:c r="Q225" s="3" t="inlineStr">
        <x:is>
          <x:t xml:space="preserve"/>
        </x:is>
      </x:c>
      <x:c r="R225" s="5" t="n"/>
      <x:c r="S225" s="3" t="inlineStr">
        <x:is>
          <x:t xml:space="preserve"/>
        </x:is>
      </x:c>
      <x:c r="T225" s="3" t="inlineStr">
        <x:is>
          <x:t xml:space="preserve"/>
        </x:is>
      </x:c>
      <x:c r="U225" s="26" t="str">
        <x:v>Não localizado em fonte pública confiável até 24/07/2026</x:v>
      </x:c>
    </x:row>
    <x:row r="226">
      <x:c r="A226" s="2" t="n">
        <x:v>225</x:v>
      </x:c>
      <x:c r="B226" s="3" t="inlineStr">
        <x:is>
          <x:t xml:space="preserve">Reteb Retentores</x:t>
        </x:is>
      </x:c>
      <x:c r="C226" s="3" t="inlineStr">
        <x:is>
          <x:t xml:space="preserve">Vedações</x:t>
        </x:is>
      </x:c>
      <x:c r="D226" s="3" t="inlineStr">
        <x:is>
          <x:t xml:space="preserve">Salvador</x:t>
        </x:is>
      </x:c>
      <x:c r="E226" s="2" t="inlineStr">
        <x:is>
          <x:t xml:space="preserve">BA</x:t>
        </x:is>
      </x:c>
      <x:c r="F226" s="2" t="inlineStr">
        <x:is>
          <x:t xml:space="preserve">Nordeste</x:t>
        </x:is>
      </x:c>
      <x:c r="G226" s="3" t="inlineStr">
        <x:is>
          <x:t xml:space="preserve">+55 71 3246-4982</x:t>
        </x:is>
      </x:c>
      <x:c r="H226" s="3" t="inlineStr">
        <x:is>
          <x:t xml:space="preserve">R. da Bolívia - Campinas de Pirajá</x:t>
        </x:is>
      </x:c>
      <x:c r="I226" s="4" t="n">
        <x:v>4.6</x:v>
      </x:c>
      <x:c r="J226" s="2" t="n">
        <x:v>9</x:v>
      </x:c>
      <x:c r="K226" s="2" t="n">
        <x:f>IF(OR(I226="",J226=""),"",IFERROR(ROUND(I226*LN(J226+1),1),""))</x:f>
        <x:v>10.6</x:v>
      </x:c>
      <x:c r="L226" s="2" t="str">
        <x:f>IF(K226="","Sem dados - qualificar",IF(K226&gt;=15,"A - Alta",IF(K226&gt;=8,"B - Média","C - Baixa")))</x:f>
        <x:v>B - Média</x:v>
      </x:c>
      <x:c r="M226" s="2" t="inlineStr">
        <x:is>
          <x:t xml:space="preserve">Não contatado</x:t>
        </x:is>
      </x:c>
      <x:c r="N226" s="3" t="inlineStr">
        <x:is>
          <x:t xml:space="preserve"/>
        </x:is>
      </x:c>
      <x:c r="O226" s="3" t="inlineStr">
        <x:is>
          <x:t xml:space="preserve"/>
        </x:is>
      </x:c>
      <x:c r="P226" s="26" t="str"/>
      <x:c r="Q226" s="3" t="inlineStr">
        <x:is>
          <x:t xml:space="preserve"/>
        </x:is>
      </x:c>
      <x:c r="R226" s="5" t="n"/>
      <x:c r="S226" s="3" t="inlineStr">
        <x:is>
          <x:t xml:space="preserve"/>
        </x:is>
      </x:c>
      <x:c r="T226" s="3" t="inlineStr">
        <x:is>
          <x:t xml:space="preserve"/>
        </x:is>
      </x:c>
      <x:c r="U226" s="26" t="str">
        <x:v>Não localizado em fonte pública confiável até 24/07/2026</x:v>
      </x:c>
    </x:row>
    <x:row r="227">
      <x:c r="A227" s="2" t="n">
        <x:v>226</x:v>
      </x:c>
      <x:c r="B227" s="3" t="inlineStr">
        <x:is>
          <x:t xml:space="preserve">VW Retentores e Vedações</x:t>
        </x:is>
      </x:c>
      <x:c r="C227" s="3" t="inlineStr">
        <x:is>
          <x:t xml:space="preserve">Vedações</x:t>
        </x:is>
      </x:c>
      <x:c r="D227" s="3" t="inlineStr">
        <x:is>
          <x:t xml:space="preserve">Salvador</x:t>
        </x:is>
      </x:c>
      <x:c r="E227" s="2" t="inlineStr">
        <x:is>
          <x:t xml:space="preserve">BA</x:t>
        </x:is>
      </x:c>
      <x:c r="F227" s="2" t="inlineStr">
        <x:is>
          <x:t xml:space="preserve">Nordeste</x:t>
        </x:is>
      </x:c>
      <x:c r="G227" s="3" t="inlineStr">
        <x:is>
          <x:t xml:space="preserve">+55 71 3312-0947</x:t>
        </x:is>
      </x:c>
      <x:c r="H227" s="3" t="inlineStr">
        <x:is>
          <x:t xml:space="preserve">Rua do Uruguay, 8 - Uruguai</x:t>
        </x:is>
      </x:c>
      <x:c r="I227" s="4" t="n">
        <x:v>4</x:v>
      </x:c>
      <x:c r="J227" s="2" t="n">
        <x:v>4</x:v>
      </x:c>
      <x:c r="K227" s="2" t="n">
        <x:f>IF(OR(I227="",J227=""),"",IFERROR(ROUND(I227*LN(J227+1),1),""))</x:f>
        <x:v>6.4</x:v>
      </x:c>
      <x:c r="L227" s="2" t="str">
        <x:f>IF(K227="","Sem dados - qualificar",IF(K227&gt;=15,"A - Alta",IF(K227&gt;=8,"B - Média","C - Baixa")))</x:f>
        <x:v>C - Baixa</x:v>
      </x:c>
      <x:c r="M227" s="2" t="inlineStr">
        <x:is>
          <x:t xml:space="preserve">Não contatado</x:t>
        </x:is>
      </x:c>
      <x:c r="N227" s="3" t="inlineStr">
        <x:is>
          <x:t xml:space="preserve"/>
        </x:is>
      </x:c>
      <x:c r="O227" s="3" t="inlineStr">
        <x:is>
          <x:t xml:space="preserve"/>
        </x:is>
      </x:c>
      <x:c r="P227" s="26" t="str"/>
      <x:c r="Q227" s="3" t="inlineStr">
        <x:is>
          <x:t xml:space="preserve"/>
        </x:is>
      </x:c>
      <x:c r="R227" s="5" t="n"/>
      <x:c r="S227" s="3" t="inlineStr">
        <x:is>
          <x:t xml:space="preserve"/>
        </x:is>
      </x:c>
      <x:c r="T227" s="3" t="inlineStr">
        <x:is>
          <x:t xml:space="preserve"/>
        </x:is>
      </x:c>
      <x:c r="U227" s="26" t="str">
        <x:v>Não localizado em fonte pública confiável até 24/07/2026</x:v>
      </x:c>
    </x:row>
    <x:row r="228">
      <x:c r="A228" s="2" t="n">
        <x:v>227</x:v>
      </x:c>
      <x:c r="B228" s="3" t="inlineStr">
        <x:is>
          <x:t xml:space="preserve">Nordeste Retentores - Vedações e Rolamentos</x:t>
        </x:is>
      </x:c>
      <x:c r="C228" s="3" t="inlineStr">
        <x:is>
          <x:t xml:space="preserve">Rolamentos/Vedações</x:t>
        </x:is>
      </x:c>
      <x:c r="D228" s="3" t="inlineStr">
        <x:is>
          <x:t xml:space="preserve">Simões Filho</x:t>
        </x:is>
      </x:c>
      <x:c r="E228" s="2" t="inlineStr">
        <x:is>
          <x:t xml:space="preserve">BA</x:t>
        </x:is>
      </x:c>
      <x:c r="F228" s="2" t="inlineStr">
        <x:is>
          <x:t xml:space="preserve">Nordeste</x:t>
        </x:is>
      </x:c>
      <x:c r="G228" s="3" t="inlineStr">
        <x:is>
          <x:t xml:space="preserve">+55 71 99207-6076</x:t>
        </x:is>
      </x:c>
      <x:c r="H228" s="3" t="inlineStr">
        <x:is>
          <x:t xml:space="preserve">BA-093, KM 1, 695 - Santa Rosa</x:t>
        </x:is>
      </x:c>
      <x:c r="I228" s="4" t="n">
        <x:v>4.1</x:v>
      </x:c>
      <x:c r="J228" s="2" t="n">
        <x:v>15</x:v>
      </x:c>
      <x:c r="K228" s="2" t="n">
        <x:f>IF(OR(I228="",J228=""),"",IFERROR(ROUND(I228*LN(J228+1),1),""))</x:f>
        <x:v>11.4</x:v>
      </x:c>
      <x:c r="L228" s="2" t="str">
        <x:f>IF(K228="","Sem dados - qualificar",IF(K228&gt;=15,"A - Alta",IF(K228&gt;=8,"B - Média","C - Baixa")))</x:f>
        <x:v>B - Média</x:v>
      </x:c>
      <x:c r="M228" s="2" t="inlineStr">
        <x:is>
          <x:t xml:space="preserve">Não contatado</x:t>
        </x:is>
      </x:c>
      <x:c r="N228" s="3" t="inlineStr">
        <x:is>
          <x:t xml:space="preserve"/>
        </x:is>
      </x:c>
      <x:c r="O228" s="3" t="inlineStr">
        <x:is>
          <x:t xml:space="preserve"/>
        </x:is>
      </x:c>
      <x:c r="P228" s="26" t="str"/>
      <x:c r="Q228" s="3" t="inlineStr">
        <x:is>
          <x:t xml:space="preserve"/>
        </x:is>
      </x:c>
      <x:c r="R228" s="5" t="n"/>
      <x:c r="S228" s="3" t="inlineStr">
        <x:is>
          <x:t xml:space="preserve"/>
        </x:is>
      </x:c>
      <x:c r="T228" s="3" t="inlineStr">
        <x:is>
          <x:t xml:space="preserve"/>
        </x:is>
      </x:c>
      <x:c r="U228" s="26" t="str">
        <x:v>Não localizado em fonte pública confiável até 24/07/2026</x:v>
      </x:c>
    </x:row>
    <x:row r="229">
      <x:c r="A229" s="2" t="n">
        <x:v>228</x:v>
      </x:c>
      <x:c r="B229" s="3" t="inlineStr">
        <x:is>
          <x:t xml:space="preserve">CEMEC Soluções em Vedações Mecânicas</x:t>
        </x:is>
      </x:c>
      <x:c r="C229" s="3" t="inlineStr">
        <x:is>
          <x:t xml:space="preserve">Vedações</x:t>
        </x:is>
      </x:c>
      <x:c r="D229" s="3" t="inlineStr">
        <x:is>
          <x:t xml:space="preserve">Fortaleza</x:t>
        </x:is>
      </x:c>
      <x:c r="E229" s="2" t="inlineStr">
        <x:is>
          <x:t xml:space="preserve">CE</x:t>
        </x:is>
      </x:c>
      <x:c r="F229" s="2" t="inlineStr">
        <x:is>
          <x:t xml:space="preserve">Nordeste</x:t>
        </x:is>
      </x:c>
      <x:c r="G229" s="3" t="inlineStr">
        <x:is>
          <x:t xml:space="preserve">+55 85 4008-6708</x:t>
        </x:is>
      </x:c>
      <x:c r="H229" s="3" t="inlineStr">
        <x:is>
          <x:t xml:space="preserve">Av. Rad. João Ramos, 2015C - Cidade Nova</x:t>
        </x:is>
      </x:c>
      <x:c r="I229" s="4" t="n">
        <x:v>5</x:v>
      </x:c>
      <x:c r="J229" s="2" t="n">
        <x:v>14</x:v>
      </x:c>
      <x:c r="K229" s="2" t="n">
        <x:f>IF(OR(I229="",J229=""),"",IFERROR(ROUND(I229*LN(J229+1),1),""))</x:f>
        <x:v>13.5</x:v>
      </x:c>
      <x:c r="L229" s="2" t="str">
        <x:f>IF(K229="","Sem dados - qualificar",IF(K229&gt;=15,"A - Alta",IF(K229&gt;=8,"B - Média","C - Baixa")))</x:f>
        <x:v>B - Média</x:v>
      </x:c>
      <x:c r="M229" s="2" t="inlineStr">
        <x:is>
          <x:t xml:space="preserve">Não contatado</x:t>
        </x:is>
      </x:c>
      <x:c r="N229" s="3" t="inlineStr">
        <x:is>
          <x:t xml:space="preserve"/>
        </x:is>
      </x:c>
      <x:c r="O229" s="3" t="inlineStr">
        <x:is>
          <x:t xml:space="preserve"/>
        </x:is>
      </x:c>
      <x:c r="P229" s="26" t="str"/>
      <x:c r="Q229" s="3" t="inlineStr">
        <x:is>
          <x:t xml:space="preserve"/>
        </x:is>
      </x:c>
      <x:c r="R229" s="5" t="n"/>
      <x:c r="S229" s="3" t="inlineStr">
        <x:is>
          <x:t xml:space="preserve"/>
        </x:is>
      </x:c>
      <x:c r="T229" s="3" t="inlineStr">
        <x:is>
          <x:t xml:space="preserve"/>
        </x:is>
      </x:c>
      <x:c r="U229" s="26" t="str">
        <x:v>Não localizado em fonte pública confiável até 24/07/2026</x:v>
      </x:c>
    </x:row>
    <x:row r="230">
      <x:c r="A230" s="2" t="n">
        <x:v>229</x:v>
      </x:c>
      <x:c r="B230" s="3" t="inlineStr">
        <x:is>
          <x:t xml:space="preserve">FH Vedações</x:t>
        </x:is>
      </x:c>
      <x:c r="C230" s="3" t="inlineStr">
        <x:is>
          <x:t xml:space="preserve">Fabricante/Vedações</x:t>
        </x:is>
      </x:c>
      <x:c r="D230" s="3" t="inlineStr">
        <x:is>
          <x:t xml:space="preserve">Fortaleza</x:t>
        </x:is>
      </x:c>
      <x:c r="E230" s="2" t="inlineStr">
        <x:is>
          <x:t xml:space="preserve">CE</x:t>
        </x:is>
      </x:c>
      <x:c r="F230" s="2" t="inlineStr">
        <x:is>
          <x:t xml:space="preserve">Nordeste</x:t>
        </x:is>
      </x:c>
      <x:c r="G230" s="3" t="inlineStr">
        <x:is>
          <x:t xml:space="preserve">+55 85 32891-3260</x:t>
        </x:is>
      </x:c>
      <x:c r="H230" s="3" t="inlineStr">
        <x:is>
          <x:t xml:space="preserve">R. Central - Cajazeiras</x:t>
        </x:is>
      </x:c>
      <x:c r="I230" s="4" t="n">
        <x:v>5</x:v>
      </x:c>
      <x:c r="J230" s="2" t="n">
        <x:v>2</x:v>
      </x:c>
      <x:c r="K230" s="2" t="n">
        <x:f>IF(OR(I230="",J230=""),"",IFERROR(ROUND(I230*LN(J230+1),1),""))</x:f>
        <x:v>5.5</x:v>
      </x:c>
      <x:c r="L230" s="2" t="str">
        <x:f>IF(K230="","Sem dados - qualificar",IF(K230&gt;=15,"A - Alta",IF(K230&gt;=8,"B - Média","C - Baixa")))</x:f>
        <x:v>C - Baixa</x:v>
      </x:c>
      <x:c r="M230" s="2" t="inlineStr">
        <x:is>
          <x:t xml:space="preserve">Não contatado</x:t>
        </x:is>
      </x:c>
      <x:c r="N230" s="3" t="inlineStr">
        <x:is>
          <x:t xml:space="preserve"/>
        </x:is>
      </x:c>
      <x:c r="O230" s="3" t="inlineStr">
        <x:is>
          <x:t xml:space="preserve"/>
        </x:is>
      </x:c>
      <x:c r="P230" s="26" t="str"/>
      <x:c r="Q230" s="3" t="inlineStr">
        <x:is>
          <x:t xml:space="preserve"/>
        </x:is>
      </x:c>
      <x:c r="R230" s="5" t="n"/>
      <x:c r="S230" s="3" t="inlineStr">
        <x:is>
          <x:t xml:space="preserve"/>
        </x:is>
      </x:c>
      <x:c r="T230" s="3" t="inlineStr">
        <x:is>
          <x:t xml:space="preserve"/>
        </x:is>
      </x:c>
      <x:c r="U230" s="26" t="str">
        <x:v>Não localizado em fonte pública confiável até 24/07/2026</x:v>
      </x:c>
    </x:row>
    <x:row r="231">
      <x:c r="A231" s="2" t="n">
        <x:v>230</x:v>
      </x:c>
      <x:c r="B231" s="3" t="inlineStr">
        <x:is>
          <x:t xml:space="preserve">Só Vedações Fortaleza</x:t>
        </x:is>
      </x:c>
      <x:c r="C231" s="3" t="inlineStr">
        <x:is>
          <x:t xml:space="preserve">Fabricante/Vedações</x:t>
        </x:is>
      </x:c>
      <x:c r="D231" s="3" t="inlineStr">
        <x:is>
          <x:t xml:space="preserve">Fortaleza</x:t>
        </x:is>
      </x:c>
      <x:c r="E231" s="2" t="inlineStr">
        <x:is>
          <x:t xml:space="preserve">CE</x:t>
        </x:is>
      </x:c>
      <x:c r="F231" s="2" t="inlineStr">
        <x:is>
          <x:t xml:space="preserve">Nordeste</x:t>
        </x:is>
      </x:c>
      <x:c r="G231" s="3" t="inlineStr">
        <x:is>
          <x:t xml:space="preserve">+55 85 3254-6776</x:t>
        </x:is>
      </x:c>
      <x:c r="H231" s="3" t="inlineStr">
        <x:is>
          <x:t xml:space="preserve">R. Princesa Isabel, 1137 - Centro</x:t>
        </x:is>
      </x:c>
      <x:c r="I231" s="4" t="n">
        <x:v>4.1</x:v>
      </x:c>
      <x:c r="J231" s="2" t="n">
        <x:v>45</x:v>
      </x:c>
      <x:c r="K231" s="2" t="n">
        <x:f>IF(OR(I231="",J231=""),"",IFERROR(ROUND(I231*LN(J231+1),1),""))</x:f>
        <x:v>15.7</x:v>
      </x:c>
      <x:c r="L231" s="2" t="str">
        <x:f>IF(K231="","Sem dados - qualificar",IF(K231&gt;=15,"A - Alta",IF(K231&gt;=8,"B - Média","C - Baixa")))</x:f>
        <x:v>A - Alta</x:v>
      </x:c>
      <x:c r="M231" s="2" t="inlineStr">
        <x:is>
          <x:t xml:space="preserve">Não contatado</x:t>
        </x:is>
      </x:c>
      <x:c r="N231" s="3" t="inlineStr">
        <x:is>
          <x:t xml:space="preserve"/>
        </x:is>
      </x:c>
      <x:c r="O231" s="3" t="inlineStr">
        <x:is>
          <x:t xml:space="preserve"/>
        </x:is>
      </x:c>
      <x:c r="P231" s="26" t="str">
        <x:v>vendas@sovedacoesfortaleza.com.br</x:v>
      </x:c>
      <x:c r="Q231" s="3" t="inlineStr">
        <x:is>
          <x:t xml:space="preserve"/>
        </x:is>
      </x:c>
      <x:c r="R231" s="5" t="n"/>
      <x:c r="S231" s="3" t="inlineStr">
        <x:is>
          <x:t xml:space="preserve"/>
        </x:is>
      </x:c>
      <x:c r="T231" s="3" t="inlineStr">
        <x:is>
          <x:t xml:space="preserve"/>
        </x:is>
      </x:c>
      <x:c r="U231" s="26" t="str">
        <x:v>https://sovedacoes.com.br/contato/</x:v>
      </x:c>
    </x:row>
    <x:row r="232">
      <x:c r="A232" s="2" t="n">
        <x:v>231</x:v>
      </x:c>
      <x:c r="B232" s="3" t="inlineStr">
        <x:is>
          <x:t xml:space="preserve">TH Vedações</x:t>
        </x:is>
      </x:c>
      <x:c r="C232" s="3" t="inlineStr">
        <x:is>
          <x:t xml:space="preserve">Vedações</x:t>
        </x:is>
      </x:c>
      <x:c r="D232" s="3" t="inlineStr">
        <x:is>
          <x:t xml:space="preserve">Fortaleza</x:t>
        </x:is>
      </x:c>
      <x:c r="E232" s="2" t="inlineStr">
        <x:is>
          <x:t xml:space="preserve">CE</x:t>
        </x:is>
      </x:c>
      <x:c r="F232" s="2" t="inlineStr">
        <x:is>
          <x:t xml:space="preserve">Nordeste</x:t>
        </x:is>
      </x:c>
      <x:c r="G232" s="3" t="inlineStr">
        <x:is>
          <x:t xml:space="preserve">+55 85 3294-2421</x:t>
        </x:is>
      </x:c>
      <x:c r="H232" s="3" t="inlineStr">
        <x:is>
          <x:t xml:space="preserve">R. 1070, 185 - Conj. Ceará I</x:t>
        </x:is>
      </x:c>
      <x:c r="I232" s="4" t="n">
        <x:v>4.7</x:v>
      </x:c>
      <x:c r="J232" s="2" t="n">
        <x:v>71</x:v>
      </x:c>
      <x:c r="K232" s="2" t="n">
        <x:f>IF(OR(I232="",J232=""),"",IFERROR(ROUND(I232*LN(J232+1),1),""))</x:f>
        <x:v>20.1</x:v>
      </x:c>
      <x:c r="L232" s="2" t="str">
        <x:f>IF(K232="","Sem dados - qualificar",IF(K232&gt;=15,"A - Alta",IF(K232&gt;=8,"B - Média","C - Baixa")))</x:f>
        <x:v>A - Alta</x:v>
      </x:c>
      <x:c r="M232" s="2" t="inlineStr">
        <x:is>
          <x:t xml:space="preserve">Não contatado</x:t>
        </x:is>
      </x:c>
      <x:c r="N232" s="3" t="inlineStr">
        <x:is>
          <x:t xml:space="preserve"/>
        </x:is>
      </x:c>
      <x:c r="O232" s="3" t="inlineStr">
        <x:is>
          <x:t xml:space="preserve"/>
        </x:is>
      </x:c>
      <x:c r="P232" s="26" t="str"/>
      <x:c r="Q232" s="3" t="inlineStr">
        <x:is>
          <x:t xml:space="preserve"/>
        </x:is>
      </x:c>
      <x:c r="R232" s="5" t="n"/>
      <x:c r="S232" s="3" t="inlineStr">
        <x:is>
          <x:t xml:space="preserve"/>
        </x:is>
      </x:c>
      <x:c r="T232" s="3" t="inlineStr">
        <x:is>
          <x:t xml:space="preserve"/>
        </x:is>
      </x:c>
      <x:c r="U232" s="26" t="str">
        <x:v>Não localizado em fonte pública confiável até 24/07/2026</x:v>
      </x:c>
    </x:row>
    <x:row r="233">
      <x:c r="A233" s="2" t="n">
        <x:v>232</x:v>
      </x:c>
      <x:c r="B233" s="3" t="inlineStr">
        <x:is>
          <x:t xml:space="preserve">GF Componentes</x:t>
        </x:is>
      </x:c>
      <x:c r="C233" s="3" t="inlineStr">
        <x:is>
          <x:t xml:space="preserve">Rolamentos/Vedações</x:t>
        </x:is>
      </x:c>
      <x:c r="D233" s="3" t="inlineStr">
        <x:is>
          <x:t xml:space="preserve">João Pessoa</x:t>
        </x:is>
      </x:c>
      <x:c r="E233" s="2" t="inlineStr">
        <x:is>
          <x:t xml:space="preserve">PB</x:t>
        </x:is>
      </x:c>
      <x:c r="F233" s="2" t="inlineStr">
        <x:is>
          <x:t xml:space="preserve">Nordeste</x:t>
        </x:is>
      </x:c>
      <x:c r="G233" s="3" t="inlineStr">
        <x:is>
          <x:t xml:space="preserve">+55 83 2177-8574</x:t>
        </x:is>
      </x:c>
      <x:c r="H233" s="3" t="inlineStr">
        <x:is>
          <x:t xml:space="preserve">R. Func. João B. de Souza, 589 - Oitizeiro</x:t>
        </x:is>
      </x:c>
      <x:c r="I233" s="4" t="n">
        <x:v>5</x:v>
      </x:c>
      <x:c r="J233" s="2" t="n">
        <x:v>11</x:v>
      </x:c>
      <x:c r="K233" s="2" t="n">
        <x:f>IF(OR(I233="",J233=""),"",IFERROR(ROUND(I233*LN(J233+1),1),""))</x:f>
        <x:v>12.4</x:v>
      </x:c>
      <x:c r="L233" s="2" t="str">
        <x:f>IF(K233="","Sem dados - qualificar",IF(K233&gt;=15,"A - Alta",IF(K233&gt;=8,"B - Média","C - Baixa")))</x:f>
        <x:v>B - Média</x:v>
      </x:c>
      <x:c r="M233" s="2" t="inlineStr">
        <x:is>
          <x:t xml:space="preserve">Não contatado</x:t>
        </x:is>
      </x:c>
      <x:c r="N233" s="3" t="inlineStr">
        <x:is>
          <x:t xml:space="preserve"/>
        </x:is>
      </x:c>
      <x:c r="O233" s="3" t="inlineStr">
        <x:is>
          <x:t xml:space="preserve"/>
        </x:is>
      </x:c>
      <x:c r="P233" s="26" t="str"/>
      <x:c r="Q233" s="3" t="inlineStr">
        <x:is>
          <x:t xml:space="preserve"/>
        </x:is>
      </x:c>
      <x:c r="R233" s="5" t="n"/>
      <x:c r="S233" s="3" t="inlineStr">
        <x:is>
          <x:t xml:space="preserve"/>
        </x:is>
      </x:c>
      <x:c r="T233" s="3" t="inlineStr">
        <x:is>
          <x:t xml:space="preserve"/>
        </x:is>
      </x:c>
      <x:c r="U233" s="26" t="str">
        <x:v>Não localizado em fonte pública confiável até 24/07/2026</x:v>
      </x:c>
    </x:row>
    <x:row r="234">
      <x:c r="A234" s="2" t="n">
        <x:v>233</x:v>
      </x:c>
      <x:c r="B234" s="3" t="inlineStr">
        <x:is>
          <x:t xml:space="preserve">HCR Comércio de Produtos Industriais</x:t>
        </x:is>
      </x:c>
      <x:c r="C234" s="3" t="inlineStr">
        <x:is>
          <x:t xml:space="preserve">Industrial/Vedações</x:t>
        </x:is>
      </x:c>
      <x:c r="D234" s="3" t="inlineStr">
        <x:is>
          <x:t xml:space="preserve">João Pessoa</x:t>
        </x:is>
      </x:c>
      <x:c r="E234" s="2" t="inlineStr">
        <x:is>
          <x:t xml:space="preserve">PB</x:t>
        </x:is>
      </x:c>
      <x:c r="F234" s="2" t="inlineStr">
        <x:is>
          <x:t xml:space="preserve">Nordeste</x:t>
        </x:is>
      </x:c>
      <x:c r="G234" s="3" t="inlineStr">
        <x:is>
          <x:t xml:space="preserve">+55 83 3222-4313</x:t>
        </x:is>
      </x:c>
      <x:c r="H234" s="3" t="inlineStr">
        <x:is>
          <x:t xml:space="preserve">R. Sá Andrade, 382 - Varadouro</x:t>
        </x:is>
      </x:c>
      <x:c r="I234" s="4" t="n">
        <x:v>4.8</x:v>
      </x:c>
      <x:c r="J234" s="2" t="n">
        <x:v>20</x:v>
      </x:c>
      <x:c r="K234" s="2" t="n">
        <x:f>IF(OR(I234="",J234=""),"",IFERROR(ROUND(I234*LN(J234+1),1),""))</x:f>
        <x:v>14.6</x:v>
      </x:c>
      <x:c r="L234" s="2" t="str">
        <x:f>IF(K234="","Sem dados - qualificar",IF(K234&gt;=15,"A - Alta",IF(K234&gt;=8,"B - Média","C - Baixa")))</x:f>
        <x:v>B - Média</x:v>
      </x:c>
      <x:c r="M234" s="2" t="inlineStr">
        <x:is>
          <x:t xml:space="preserve">Não contatado</x:t>
        </x:is>
      </x:c>
      <x:c r="N234" s="3" t="inlineStr">
        <x:is>
          <x:t xml:space="preserve"/>
        </x:is>
      </x:c>
      <x:c r="O234" s="3" t="inlineStr">
        <x:is>
          <x:t xml:space="preserve"/>
        </x:is>
      </x:c>
      <x:c r="P234" s="26" t="str">
        <x:v>vendas@hcrjp.com.br</x:v>
      </x:c>
      <x:c r="Q234" s="3" t="inlineStr">
        <x:is>
          <x:t xml:space="preserve"/>
        </x:is>
      </x:c>
      <x:c r="R234" s="5" t="n"/>
      <x:c r="S234" s="3" t="inlineStr">
        <x:is>
          <x:t xml:space="preserve"/>
        </x:is>
      </x:c>
      <x:c r="T234" s="3" t="inlineStr">
        <x:is>
          <x:t xml:space="preserve"/>
        </x:is>
      </x:c>
      <x:c r="U234" s="26" t="str">
        <x:v>https://www.facebook.com/HCRJP/</x:v>
      </x:c>
    </x:row>
    <x:row r="235">
      <x:c r="A235" s="2" t="n">
        <x:v>234</x:v>
      </x:c>
      <x:c r="B235" s="3" t="inlineStr">
        <x:is>
          <x:t xml:space="preserve">Vedações Industriais Jaboatão</x:t>
        </x:is>
      </x:c>
      <x:c r="C235" s="3" t="inlineStr">
        <x:is>
          <x:t xml:space="preserve">Vedações</x:t>
        </x:is>
      </x:c>
      <x:c r="D235" s="3" t="inlineStr">
        <x:is>
          <x:t xml:space="preserve">Jaboatão dos Guararapes</x:t>
        </x:is>
      </x:c>
      <x:c r="E235" s="2" t="inlineStr">
        <x:is>
          <x:t xml:space="preserve">PE</x:t>
        </x:is>
      </x:c>
      <x:c r="F235" s="2" t="inlineStr">
        <x:is>
          <x:t xml:space="preserve">Nordeste</x:t>
        </x:is>
      </x:c>
      <x:c r="G235" s="3" t="inlineStr">
        <x:is>
          <x:t xml:space="preserve">+55 81 98824-9079</x:t>
        </x:is>
      </x:c>
      <x:c r="H235" s="3" t="inlineStr">
        <x:is>
          <x:t xml:space="preserve">Rua Rio Cachoerinha, 202 - Marcos Freire</x:t>
        </x:is>
      </x:c>
      <x:c r="I235" s="4" t="n">
        <x:v>4.4</x:v>
      </x:c>
      <x:c r="J235" s="2" t="n">
        <x:v>13</x:v>
      </x:c>
      <x:c r="K235" s="2" t="n">
        <x:f>IF(OR(I235="",J235=""),"",IFERROR(ROUND(I235*LN(J235+1),1),""))</x:f>
        <x:v>11.6</x:v>
      </x:c>
      <x:c r="L235" s="2" t="str">
        <x:f>IF(K235="","Sem dados - qualificar",IF(K235&gt;=15,"A - Alta",IF(K235&gt;=8,"B - Média","C - Baixa")))</x:f>
        <x:v>B - Média</x:v>
      </x:c>
      <x:c r="M235" s="2" t="inlineStr">
        <x:is>
          <x:t xml:space="preserve">Não contatado</x:t>
        </x:is>
      </x:c>
      <x:c r="N235" s="3" t="inlineStr">
        <x:is>
          <x:t xml:space="preserve"/>
        </x:is>
      </x:c>
      <x:c r="O235" s="3" t="inlineStr">
        <x:is>
          <x:t xml:space="preserve"/>
        </x:is>
      </x:c>
      <x:c r="P235" s="26" t="str"/>
      <x:c r="Q235" s="3" t="inlineStr">
        <x:is>
          <x:t xml:space="preserve"/>
        </x:is>
      </x:c>
      <x:c r="R235" s="5" t="n"/>
      <x:c r="S235" s="3" t="inlineStr">
        <x:is>
          <x:t xml:space="preserve"/>
        </x:is>
      </x:c>
      <x:c r="T235" s="3" t="inlineStr">
        <x:is>
          <x:t xml:space="preserve"/>
        </x:is>
      </x:c>
      <x:c r="U235" s="26" t="str">
        <x:v>Não localizado em fonte pública confiável até 24/07/2026</x:v>
      </x:c>
    </x:row>
    <x:row r="236">
      <x:c r="A236" s="2" t="n">
        <x:v>235</x:v>
      </x:c>
      <x:c r="B236" s="3" t="inlineStr">
        <x:is>
          <x:t xml:space="preserve">Norved Distribuidora de Peças e Vedações</x:t>
        </x:is>
      </x:c>
      <x:c r="C236" s="3" t="inlineStr">
        <x:is>
          <x:t xml:space="preserve">Distribuidora</x:t>
        </x:is>
      </x:c>
      <x:c r="D236" s="3" t="inlineStr">
        <x:is>
          <x:t xml:space="preserve">Recife</x:t>
        </x:is>
      </x:c>
      <x:c r="E236" s="2" t="inlineStr">
        <x:is>
          <x:t xml:space="preserve">PE</x:t>
        </x:is>
      </x:c>
      <x:c r="F236" s="2" t="inlineStr">
        <x:is>
          <x:t xml:space="preserve">Nordeste</x:t>
        </x:is>
      </x:c>
      <x:c r="G236" s="3" t="inlineStr">
        <x:is>
          <x:t xml:space="preserve">+55 81 3462-9607</x:t>
        </x:is>
      </x:c>
      <x:c r="H236" s="3" t="inlineStr">
        <x:is>
          <x:t xml:space="preserve">R. Pedro Álvares Cabral, 109 - Boa Viagem</x:t>
        </x:is>
      </x:c>
      <x:c r="I236" s="4" t="n">
        <x:v>5</x:v>
      </x:c>
      <x:c r="J236" s="2" t="n">
        <x:v>9</x:v>
      </x:c>
      <x:c r="K236" s="2" t="n">
        <x:f>IF(OR(I236="",J236=""),"",IFERROR(ROUND(I236*LN(J236+1),1),""))</x:f>
        <x:v>11.5</x:v>
      </x:c>
      <x:c r="L236" s="2" t="str">
        <x:f>IF(K236="","Sem dados - qualificar",IF(K236&gt;=15,"A - Alta",IF(K236&gt;=8,"B - Média","C - Baixa")))</x:f>
        <x:v>B - Média</x:v>
      </x:c>
      <x:c r="M236" s="2" t="inlineStr">
        <x:is>
          <x:t xml:space="preserve">Não contatado</x:t>
        </x:is>
      </x:c>
      <x:c r="N236" s="3" t="inlineStr">
        <x:is>
          <x:t xml:space="preserve"/>
        </x:is>
      </x:c>
      <x:c r="O236" s="3" t="inlineStr">
        <x:is>
          <x:t xml:space="preserve"/>
        </x:is>
      </x:c>
      <x:c r="P236" s="26" t="str"/>
      <x:c r="Q236" s="3" t="inlineStr">
        <x:is>
          <x:t xml:space="preserve"/>
        </x:is>
      </x:c>
      <x:c r="R236" s="5" t="n"/>
      <x:c r="S236" s="3" t="inlineStr">
        <x:is>
          <x:t xml:space="preserve"/>
        </x:is>
      </x:c>
      <x:c r="T236" s="3" t="inlineStr">
        <x:is>
          <x:t xml:space="preserve"/>
        </x:is>
      </x:c>
      <x:c r="U236" s="26" t="str">
        <x:v>Não localizado em fonte pública confiável até 24/07/2026</x:v>
      </x:c>
    </x:row>
    <x:row r="237">
      <x:c r="A237" s="2" t="n">
        <x:v>236</x:v>
      </x:c>
      <x:c r="B237" s="3" t="inlineStr">
        <x:is>
          <x:t xml:space="preserve">RubberTech Vedações Industriais</x:t>
        </x:is>
      </x:c>
      <x:c r="C237" s="3" t="inlineStr">
        <x:is>
          <x:t xml:space="preserve">Vedações</x:t>
        </x:is>
      </x:c>
      <x:c r="D237" s="3" t="inlineStr">
        <x:is>
          <x:t xml:space="preserve">Recife</x:t>
        </x:is>
      </x:c>
      <x:c r="E237" s="2" t="inlineStr">
        <x:is>
          <x:t xml:space="preserve">PE</x:t>
        </x:is>
      </x:c>
      <x:c r="F237" s="2" t="inlineStr">
        <x:is>
          <x:t xml:space="preserve">Nordeste</x:t>
        </x:is>
      </x:c>
      <x:c r="G237" s="3" t="inlineStr">
        <x:is>
          <x:t xml:space="preserve">+55 81 3224-8904</x:t>
        </x:is>
      </x:c>
      <x:c r="H237" s="3" t="inlineStr">
        <x:is>
          <x:t xml:space="preserve">R. do Peixoto, 228 - São José</x:t>
        </x:is>
      </x:c>
      <x:c r="I237" s="4" t="n">
        <x:v>4.8</x:v>
      </x:c>
      <x:c r="J237" s="2" t="n">
        <x:v>43</x:v>
      </x:c>
      <x:c r="K237" s="2" t="n">
        <x:f>IF(OR(I237="",J237=""),"",IFERROR(ROUND(I237*LN(J237+1),1),""))</x:f>
        <x:v>18.2</x:v>
      </x:c>
      <x:c r="L237" s="2" t="str">
        <x:f>IF(K237="","Sem dados - qualificar",IF(K237&gt;=15,"A - Alta",IF(K237&gt;=8,"B - Média","C - Baixa")))</x:f>
        <x:v>A - Alta</x:v>
      </x:c>
      <x:c r="M237" s="2" t="inlineStr">
        <x:is>
          <x:t xml:space="preserve">Não contatado</x:t>
        </x:is>
      </x:c>
      <x:c r="N237" s="3" t="inlineStr">
        <x:is>
          <x:t xml:space="preserve"/>
        </x:is>
      </x:c>
      <x:c r="O237" s="3" t="inlineStr">
        <x:is>
          <x:t xml:space="preserve"/>
        </x:is>
      </x:c>
      <x:c r="P237" s="26" t="str"/>
      <x:c r="Q237" s="3" t="inlineStr">
        <x:is>
          <x:t xml:space="preserve"/>
        </x:is>
      </x:c>
      <x:c r="R237" s="5" t="n"/>
      <x:c r="S237" s="3" t="inlineStr">
        <x:is>
          <x:t xml:space="preserve"/>
        </x:is>
      </x:c>
      <x:c r="T237" s="3" t="inlineStr">
        <x:is>
          <x:t xml:space="preserve"/>
        </x:is>
      </x:c>
      <x:c r="U237" s="26" t="str">
        <x:v>Não localizado em fonte pública confiável até 24/07/2026</x:v>
      </x:c>
    </x:row>
    <x:row r="238">
      <x:c r="A238" s="2" t="n">
        <x:v>237</x:v>
      </x:c>
      <x:c r="B238" s="3" t="inlineStr">
        <x:is>
          <x:t xml:space="preserve">Só Vedações - Centro</x:t>
        </x:is>
      </x:c>
      <x:c r="C238" s="3" t="inlineStr">
        <x:is>
          <x:t xml:space="preserve">Vedações</x:t>
        </x:is>
      </x:c>
      <x:c r="D238" s="3" t="inlineStr">
        <x:is>
          <x:t xml:space="preserve">Recife</x:t>
        </x:is>
      </x:c>
      <x:c r="E238" s="2" t="inlineStr">
        <x:is>
          <x:t xml:space="preserve">PE</x:t>
        </x:is>
      </x:c>
      <x:c r="F238" s="2" t="inlineStr">
        <x:is>
          <x:t xml:space="preserve">Nordeste</x:t>
        </x:is>
      </x:c>
      <x:c r="G238" s="3" t="inlineStr">
        <x:is>
          <x:t xml:space="preserve">+55 81 99661-1223</x:t>
        </x:is>
      </x:c>
      <x:c r="H238" s="3" t="inlineStr">
        <x:is>
          <x:t xml:space="preserve">R. Marquês do Herval, 199 - São José</x:t>
        </x:is>
      </x:c>
      <x:c r="I238" s="4" t="n">
        <x:v>4.5</x:v>
      </x:c>
      <x:c r="J238" s="2" t="n">
        <x:v>23</x:v>
      </x:c>
      <x:c r="K238" s="2" t="n">
        <x:f>IF(OR(I238="",J238=""),"",IFERROR(ROUND(I238*LN(J238+1),1),""))</x:f>
        <x:v>14.3</x:v>
      </x:c>
      <x:c r="L238" s="2" t="str">
        <x:f>IF(K238="","Sem dados - qualificar",IF(K238&gt;=15,"A - Alta",IF(K238&gt;=8,"B - Média","C - Baixa")))</x:f>
        <x:v>B - Média</x:v>
      </x:c>
      <x:c r="M238" s="2" t="inlineStr">
        <x:is>
          <x:t xml:space="preserve">Não contatado</x:t>
        </x:is>
      </x:c>
      <x:c r="N238" s="3" t="inlineStr">
        <x:is>
          <x:t xml:space="preserve"/>
        </x:is>
      </x:c>
      <x:c r="O238" s="3" t="inlineStr">
        <x:is>
          <x:t xml:space="preserve"/>
        </x:is>
      </x:c>
      <x:c r="P238" s="26" t="str">
        <x:v>sovedacoes@sovedacoes.com.br</x:v>
      </x:c>
      <x:c r="Q238" s="3" t="inlineStr">
        <x:is>
          <x:t xml:space="preserve"/>
        </x:is>
      </x:c>
      <x:c r="R238" s="5" t="n"/>
      <x:c r="S238" s="3" t="inlineStr">
        <x:is>
          <x:t xml:space="preserve"/>
        </x:is>
      </x:c>
      <x:c r="T238" s="3" t="inlineStr">
        <x:is>
          <x:t xml:space="preserve"/>
        </x:is>
      </x:c>
      <x:c r="U238" s="26" t="str">
        <x:v>https://sovedacoes.com.br/contato/</x:v>
      </x:c>
    </x:row>
    <x:row r="239">
      <x:c r="A239" s="2" t="n">
        <x:v>238</x:v>
      </x:c>
      <x:c r="B239" s="3" t="inlineStr">
        <x:is>
          <x:t xml:space="preserve">Só Vedações - Imbiribeira</x:t>
        </x:is>
      </x:c>
      <x:c r="C239" s="3" t="inlineStr">
        <x:is>
          <x:t xml:space="preserve">Vedações</x:t>
        </x:is>
      </x:c>
      <x:c r="D239" s="3" t="inlineStr">
        <x:is>
          <x:t xml:space="preserve">Recife</x:t>
        </x:is>
      </x:c>
      <x:c r="E239" s="2" t="inlineStr">
        <x:is>
          <x:t xml:space="preserve">PE</x:t>
        </x:is>
      </x:c>
      <x:c r="F239" s="2" t="inlineStr">
        <x:is>
          <x:t xml:space="preserve">Nordeste</x:t>
        </x:is>
      </x:c>
      <x:c r="G239" s="3" t="inlineStr">
        <x:is>
          <x:t xml:space="preserve">+55 81 3424-2197</x:t>
        </x:is>
      </x:c>
      <x:c r="H239" s="3" t="inlineStr">
        <x:is>
          <x:t xml:space="preserve">R. Moacir Albuquerque, 423 - Imbiribeira</x:t>
        </x:is>
      </x:c>
      <x:c r="I239" s="4" t="n">
        <x:v>4.6</x:v>
      </x:c>
      <x:c r="J239" s="2" t="n">
        <x:v>22</x:v>
      </x:c>
      <x:c r="K239" s="2" t="n">
        <x:f>IF(OR(I239="",J239=""),"",IFERROR(ROUND(I239*LN(J239+1),1),""))</x:f>
        <x:v>14.4</x:v>
      </x:c>
      <x:c r="L239" s="2" t="str">
        <x:f>IF(K239="","Sem dados - qualificar",IF(K239&gt;=15,"A - Alta",IF(K239&gt;=8,"B - Média","C - Baixa")))</x:f>
        <x:v>B - Média</x:v>
      </x:c>
      <x:c r="M239" s="2" t="inlineStr">
        <x:is>
          <x:t xml:space="preserve">Não contatado</x:t>
        </x:is>
      </x:c>
      <x:c r="N239" s="3" t="inlineStr">
        <x:is>
          <x:t xml:space="preserve"/>
        </x:is>
      </x:c>
      <x:c r="O239" s="3" t="inlineStr">
        <x:is>
          <x:t xml:space="preserve"/>
        </x:is>
      </x:c>
      <x:c r="P239" s="26" t="str">
        <x:v>filial1@sovedacoes.com.br</x:v>
      </x:c>
      <x:c r="Q239" s="3" t="inlineStr">
        <x:is>
          <x:t xml:space="preserve"/>
        </x:is>
      </x:c>
      <x:c r="R239" s="5" t="n"/>
      <x:c r="S239" s="3" t="inlineStr">
        <x:is>
          <x:t xml:space="preserve"/>
        </x:is>
      </x:c>
      <x:c r="T239" s="3" t="inlineStr">
        <x:is>
          <x:t xml:space="preserve"/>
        </x:is>
      </x:c>
      <x:c r="U239" s="26" t="str">
        <x:v>https://sovedacoes.com.br/contato/</x:v>
      </x:c>
    </x:row>
    <x:row r="240">
      <x:c r="A240" s="2" t="n">
        <x:v>239</x:v>
      </x:c>
      <x:c r="B240" s="3" t="inlineStr">
        <x:is>
          <x:t xml:space="preserve">Vedacom Comércio e Serviços de Vedações e Molas</x:t>
        </x:is>
      </x:c>
      <x:c r="C240" s="3" t="inlineStr">
        <x:is>
          <x:t xml:space="preserve">Vedações</x:t>
        </x:is>
      </x:c>
      <x:c r="D240" s="3" t="inlineStr">
        <x:is>
          <x:t xml:space="preserve">Recife</x:t>
        </x:is>
      </x:c>
      <x:c r="E240" s="2" t="inlineStr">
        <x:is>
          <x:t xml:space="preserve">PE</x:t>
        </x:is>
      </x:c>
      <x:c r="F240" s="2" t="inlineStr">
        <x:is>
          <x:t xml:space="preserve">Nordeste</x:t>
        </x:is>
      </x:c>
      <x:c r="G240" s="3" t="inlineStr">
        <x:is>
          <x:t xml:space="preserve">+55 81 98669-8107</x:t>
        </x:is>
      </x:c>
      <x:c r="H240" s="3" t="inlineStr">
        <x:is>
          <x:t xml:space="preserve">R. Vinte e Quatro de Maio, 54 - São José</x:t>
        </x:is>
      </x:c>
      <x:c r="I240" s="4" t="n">
        <x:v>4.8</x:v>
      </x:c>
      <x:c r="J240" s="2" t="n">
        <x:v>13</x:v>
      </x:c>
      <x:c r="K240" s="2" t="n">
        <x:f>IF(OR(I240="",J240=""),"",IFERROR(ROUND(I240*LN(J240+1),1),""))</x:f>
        <x:v>12.7</x:v>
      </x:c>
      <x:c r="L240" s="2" t="str">
        <x:f>IF(K240="","Sem dados - qualificar",IF(K240&gt;=15,"A - Alta",IF(K240&gt;=8,"B - Média","C - Baixa")))</x:f>
        <x:v>B - Média</x:v>
      </x:c>
      <x:c r="M240" s="2" t="inlineStr">
        <x:is>
          <x:t xml:space="preserve">Não contatado</x:t>
        </x:is>
      </x:c>
      <x:c r="N240" s="3" t="inlineStr">
        <x:is>
          <x:t xml:space="preserve"/>
        </x:is>
      </x:c>
      <x:c r="O240" s="3" t="inlineStr">
        <x:is>
          <x:t xml:space="preserve"/>
        </x:is>
      </x:c>
      <x:c r="P240" s="26" t="str"/>
      <x:c r="Q240" s="3" t="inlineStr">
        <x:is>
          <x:t xml:space="preserve"/>
        </x:is>
      </x:c>
      <x:c r="R240" s="5" t="n"/>
      <x:c r="S240" s="3" t="inlineStr">
        <x:is>
          <x:t xml:space="preserve"/>
        </x:is>
      </x:c>
      <x:c r="T240" s="3" t="inlineStr">
        <x:is>
          <x:t xml:space="preserve"/>
        </x:is>
      </x:c>
      <x:c r="U240" s="26" t="str">
        <x:v>Não localizado em fonte pública confiável até 24/07/2026</x:v>
      </x:c>
    </x:row>
    <x:row r="241">
      <x:c r="A241" s="2" t="n">
        <x:v>240</x:v>
      </x:c>
      <x:c r="B241" s="3" t="inlineStr">
        <x:is>
          <x:t xml:space="preserve">Vedart Vedações</x:t>
        </x:is>
      </x:c>
      <x:c r="C241" s="3" t="inlineStr">
        <x:is>
          <x:t xml:space="preserve">Vedações</x:t>
        </x:is>
      </x:c>
      <x:c r="D241" s="3" t="inlineStr">
        <x:is>
          <x:t xml:space="preserve">Recife</x:t>
        </x:is>
      </x:c>
      <x:c r="E241" s="2" t="inlineStr">
        <x:is>
          <x:t xml:space="preserve">PE</x:t>
        </x:is>
      </x:c>
      <x:c r="F241" s="2" t="inlineStr">
        <x:is>
          <x:t xml:space="preserve">Nordeste</x:t>
        </x:is>
      </x:c>
      <x:c r="G241" s="3" t="inlineStr">
        <x:is>
          <x:t xml:space="preserve">+55 81 98639-7061</x:t>
        </x:is>
      </x:c>
      <x:c r="H241" s="3" t="inlineStr">
        <x:is>
          <x:t xml:space="preserve">R. Vinte e Quatro de Maio, 46 - Santo Antônio</x:t>
        </x:is>
      </x:c>
      <x:c r="I241" s="4" t="n">
        <x:v>3.7</x:v>
      </x:c>
      <x:c r="J241" s="2" t="n">
        <x:v>22</x:v>
      </x:c>
      <x:c r="K241" s="2" t="n">
        <x:f>IF(OR(I241="",J241=""),"",IFERROR(ROUND(I241*LN(J241+1),1),""))</x:f>
        <x:v>11.6</x:v>
      </x:c>
      <x:c r="L241" s="2" t="str">
        <x:f>IF(K241="","Sem dados - qualificar",IF(K241&gt;=15,"A - Alta",IF(K241&gt;=8,"B - Média","C - Baixa")))</x:f>
        <x:v>B - Média</x:v>
      </x:c>
      <x:c r="M241" s="2" t="inlineStr">
        <x:is>
          <x:t xml:space="preserve">Não contatado</x:t>
        </x:is>
      </x:c>
      <x:c r="N241" s="3" t="inlineStr">
        <x:is>
          <x:t xml:space="preserve"/>
        </x:is>
      </x:c>
      <x:c r="O241" s="3" t="inlineStr">
        <x:is>
          <x:t xml:space="preserve"/>
        </x:is>
      </x:c>
      <x:c r="P241" s="26" t="str">
        <x:v>atendimento@vedartvedacoes.com.br</x:v>
      </x:c>
      <x:c r="Q241" s="3" t="inlineStr">
        <x:is>
          <x:t xml:space="preserve"/>
        </x:is>
      </x:c>
      <x:c r="R241" s="5" t="n"/>
      <x:c r="S241" s="3" t="inlineStr">
        <x:is>
          <x:t xml:space="preserve"/>
        </x:is>
      </x:c>
      <x:c r="T241" s="3" t="inlineStr">
        <x:is>
          <x:t xml:space="preserve"/>
        </x:is>
      </x:c>
      <x:c r="U241" s="26" t="str">
        <x:v>https://www.instagram.com/vedartvedacoes/</x:v>
      </x:c>
    </x:row>
    <x:row r="242">
      <x:c r="A242" s="2" t="n">
        <x:v>241</x:v>
      </x:c>
      <x:c r="B242" s="3" t="inlineStr">
        <x:is>
          <x:t xml:space="preserve">Natal Rolamentos e Retentores</x:t>
        </x:is>
      </x:c>
      <x:c r="C242" s="3" t="inlineStr">
        <x:is>
          <x:t xml:space="preserve">Rolamentos/Vedações</x:t>
        </x:is>
      </x:c>
      <x:c r="D242" s="3" t="inlineStr">
        <x:is>
          <x:t xml:space="preserve">Natal</x:t>
        </x:is>
      </x:c>
      <x:c r="E242" s="2" t="inlineStr">
        <x:is>
          <x:t xml:space="preserve">RN</x:t>
        </x:is>
      </x:c>
      <x:c r="F242" s="2" t="inlineStr">
        <x:is>
          <x:t xml:space="preserve">Nordeste</x:t>
        </x:is>
      </x:c>
      <x:c r="G242" s="3" t="inlineStr">
        <x:is>
          <x:t xml:space="preserve">+55 84 98856-0210</x:t>
        </x:is>
      </x:c>
      <x:c r="H242" s="3" t="inlineStr">
        <x:is>
          <x:t xml:space="preserve">Av. Coronel Estevam, 3605 - N. Sra. de Nazaré</x:t>
        </x:is>
      </x:c>
      <x:c r="I242" s="4" t="n">
        <x:v>4.6</x:v>
      </x:c>
      <x:c r="J242" s="2" t="n">
        <x:v>42</x:v>
      </x:c>
      <x:c r="K242" s="2" t="n">
        <x:f>IF(OR(I242="",J242=""),"",IFERROR(ROUND(I242*LN(J242+1),1),""))</x:f>
        <x:v>17.3</x:v>
      </x:c>
      <x:c r="L242" s="2" t="str">
        <x:f>IF(K242="","Sem dados - qualificar",IF(K242&gt;=15,"A - Alta",IF(K242&gt;=8,"B - Média","C - Baixa")))</x:f>
        <x:v>A - Alta</x:v>
      </x:c>
      <x:c r="M242" s="2" t="inlineStr">
        <x:is>
          <x:t xml:space="preserve">Não contatado</x:t>
        </x:is>
      </x:c>
      <x:c r="N242" s="3" t="inlineStr">
        <x:is>
          <x:t xml:space="preserve"/>
        </x:is>
      </x:c>
      <x:c r="O242" s="3" t="inlineStr">
        <x:is>
          <x:t xml:space="preserve"/>
        </x:is>
      </x:c>
      <x:c r="P242" s="26" t="str"/>
      <x:c r="Q242" s="3" t="inlineStr">
        <x:is>
          <x:t xml:space="preserve"/>
        </x:is>
      </x:c>
      <x:c r="R242" s="5" t="n"/>
      <x:c r="S242" s="3" t="inlineStr">
        <x:is>
          <x:t xml:space="preserve"/>
        </x:is>
      </x:c>
      <x:c r="T242" s="3" t="inlineStr">
        <x:is>
          <x:t xml:space="preserve"/>
        </x:is>
      </x:c>
      <x:c r="U242" s="26" t="str">
        <x:v>Não localizado em fonte pública confiável até 24/07/2026</x:v>
      </x:c>
    </x:row>
    <x:row r="243">
      <x:c r="A243" s="2" t="n">
        <x:v>242</x:v>
      </x:c>
      <x:c r="B243" s="3" t="inlineStr">
        <x:is>
          <x:t xml:space="preserve">Nordeste Rolamentos</x:t>
        </x:is>
      </x:c>
      <x:c r="C243" s="3" t="inlineStr">
        <x:is>
          <x:t xml:space="preserve">Rolamentos/Vedações</x:t>
        </x:is>
      </x:c>
      <x:c r="D243" s="3" t="inlineStr">
        <x:is>
          <x:t xml:space="preserve">Natal</x:t>
        </x:is>
      </x:c>
      <x:c r="E243" s="2" t="inlineStr">
        <x:is>
          <x:t xml:space="preserve">RN</x:t>
        </x:is>
      </x:c>
      <x:c r="F243" s="2" t="inlineStr">
        <x:is>
          <x:t xml:space="preserve">Nordeste</x:t>
        </x:is>
      </x:c>
      <x:c r="G243" s="3" t="inlineStr">
        <x:is>
          <x:t xml:space="preserve">+55 84 3223-9184</x:t>
        </x:is>
      </x:c>
      <x:c r="H243" s="3" t="inlineStr">
        <x:is>
          <x:t xml:space="preserve">R. Leonel Leite, 1442 - Alecrim</x:t>
        </x:is>
      </x:c>
      <x:c r="I243" s="4" t="n">
        <x:v>5</x:v>
      </x:c>
      <x:c r="J243" s="2" t="n">
        <x:v>161</x:v>
      </x:c>
      <x:c r="K243" s="2" t="n">
        <x:f>IF(OR(I243="",J243=""),"",IFERROR(ROUND(I243*LN(J243+1),1),""))</x:f>
        <x:v>25.4</x:v>
      </x:c>
      <x:c r="L243" s="2" t="str">
        <x:f>IF(K243="","Sem dados - qualificar",IF(K243&gt;=15,"A - Alta",IF(K243&gt;=8,"B - Média","C - Baixa")))</x:f>
        <x:v>A - Alta</x:v>
      </x:c>
      <x:c r="M243" s="2" t="inlineStr">
        <x:is>
          <x:t xml:space="preserve">Não contatado</x:t>
        </x:is>
      </x:c>
      <x:c r="N243" s="3" t="inlineStr">
        <x:is>
          <x:t xml:space="preserve"/>
        </x:is>
      </x:c>
      <x:c r="O243" s="3" t="inlineStr">
        <x:is>
          <x:t xml:space="preserve"/>
        </x:is>
      </x:c>
      <x:c r="P243" s="26" t="str">
        <x:v>comercial@nordesterolamentos.com.br</x:v>
      </x:c>
      <x:c r="Q243" s="3" t="inlineStr">
        <x:is>
          <x:t xml:space="preserve"/>
        </x:is>
      </x:c>
      <x:c r="R243" s="5" t="n"/>
      <x:c r="S243" s="3" t="inlineStr">
        <x:is>
          <x:t xml:space="preserve"/>
        </x:is>
      </x:c>
      <x:c r="T243" s="3" t="inlineStr">
        <x:is>
          <x:t xml:space="preserve"/>
        </x:is>
      </x:c>
      <x:c r="U243" s="26" t="str">
        <x:v>https://nordesterolamentos.com.br/produto/retentores/</x:v>
      </x:c>
    </x:row>
    <x:row r="244">
      <x:c r="A244" s="2" t="n">
        <x:v>243</x:v>
      </x:c>
      <x:c r="B244" s="3" t="inlineStr">
        <x:is>
          <x:t xml:space="preserve">Aracaju Vedações</x:t>
        </x:is>
      </x:c>
      <x:c r="C244" s="3" t="inlineStr">
        <x:is>
          <x:t xml:space="preserve">Hidráulica/Vedações</x:t>
        </x:is>
      </x:c>
      <x:c r="D244" s="3" t="inlineStr">
        <x:is>
          <x:t xml:space="preserve">Aracaju</x:t>
        </x:is>
      </x:c>
      <x:c r="E244" s="2" t="inlineStr">
        <x:is>
          <x:t xml:space="preserve">SE</x:t>
        </x:is>
      </x:c>
      <x:c r="F244" s="2" t="inlineStr">
        <x:is>
          <x:t xml:space="preserve">Nordeste</x:t>
        </x:is>
      </x:c>
      <x:c r="G244" s="3" t="inlineStr">
        <x:is>
          <x:t xml:space="preserve">+55 79 99911-0966</x:t>
        </x:is>
      </x:c>
      <x:c r="H244" s="3" t="inlineStr">
        <x:is>
          <x:t xml:space="preserve">Av. Chanceler Osvaldo Aranha, 268</x:t>
        </x:is>
      </x:c>
      <x:c r="I244" s="4" t="n">
        <x:v>4</x:v>
      </x:c>
      <x:c r="J244" s="2" t="n">
        <x:v>4</x:v>
      </x:c>
      <x:c r="K244" s="2" t="n">
        <x:f>IF(OR(I244="",J244=""),"",IFERROR(ROUND(I244*LN(J244+1),1),""))</x:f>
        <x:v>6.4</x:v>
      </x:c>
      <x:c r="L244" s="2" t="str">
        <x:f>IF(K244="","Sem dados - qualificar",IF(K244&gt;=15,"A - Alta",IF(K244&gt;=8,"B - Média","C - Baixa")))</x:f>
        <x:v>C - Baixa</x:v>
      </x:c>
      <x:c r="M244" s="2" t="inlineStr">
        <x:is>
          <x:t xml:space="preserve">Não contatado</x:t>
        </x:is>
      </x:c>
      <x:c r="N244" s="3" t="inlineStr">
        <x:is>
          <x:t xml:space="preserve"/>
        </x:is>
      </x:c>
      <x:c r="O244" s="3" t="inlineStr">
        <x:is>
          <x:t xml:space="preserve"/>
        </x:is>
      </x:c>
      <x:c r="P244" s="26" t="str"/>
      <x:c r="Q244" s="3" t="inlineStr">
        <x:is>
          <x:t xml:space="preserve"/>
        </x:is>
      </x:c>
      <x:c r="R244" s="5" t="n"/>
      <x:c r="S244" s="3" t="inlineStr">
        <x:is>
          <x:t xml:space="preserve"/>
        </x:is>
      </x:c>
      <x:c r="T244" s="3" t="inlineStr">
        <x:is>
          <x:t xml:space="preserve"/>
        </x:is>
      </x:c>
      <x:c r="U244" s="26" t="str">
        <x:v>Não localizado em fonte pública confiável até 24/07/2026</x:v>
      </x:c>
    </x:row>
    <x:row r="245">
      <x:c r="A245" s="2" t="n">
        <x:v>244</x:v>
      </x:c>
      <x:c r="B245" s="3" t="inlineStr">
        <x:is>
          <x:t xml:space="preserve">Veda-Tech Comércio e Serviços</x:t>
        </x:is>
      </x:c>
      <x:c r="C245" s="3" t="inlineStr">
        <x:is>
          <x:t xml:space="preserve">Vedações</x:t>
        </x:is>
      </x:c>
      <x:c r="D245" s="3" t="inlineStr">
        <x:is>
          <x:t xml:space="preserve">Aracaju</x:t>
        </x:is>
      </x:c>
      <x:c r="E245" s="2" t="inlineStr">
        <x:is>
          <x:t xml:space="preserve">SE</x:t>
        </x:is>
      </x:c>
      <x:c r="F245" s="2" t="inlineStr">
        <x:is>
          <x:t xml:space="preserve">Nordeste</x:t>
        </x:is>
      </x:c>
      <x:c r="G245" s="3" t="inlineStr">
        <x:is>
          <x:t xml:space="preserve">+55 79 3259-1497</x:t>
        </x:is>
      </x:c>
      <x:c r="H245" s="3" t="inlineStr">
        <x:is>
          <x:t xml:space="preserve">Rua Acre, 1501 - Siqueira Campos</x:t>
        </x:is>
      </x:c>
      <x:c r="I245" s="4" t="n">
        <x:v>4.3</x:v>
      </x:c>
      <x:c r="J245" s="2" t="n">
        <x:v>139</x:v>
      </x:c>
      <x:c r="K245" s="2" t="n">
        <x:f>IF(OR(I245="",J245=""),"",IFERROR(ROUND(I245*LN(J245+1),1),""))</x:f>
        <x:v>21.2</x:v>
      </x:c>
      <x:c r="L245" s="2" t="str">
        <x:f>IF(K245="","Sem dados - qualificar",IF(K245&gt;=15,"A - Alta",IF(K245&gt;=8,"B - Média","C - Baixa")))</x:f>
        <x:v>A - Alta</x:v>
      </x:c>
      <x:c r="M245" s="2" t="inlineStr">
        <x:is>
          <x:t xml:space="preserve">Não contatado</x:t>
        </x:is>
      </x:c>
      <x:c r="N245" s="3" t="inlineStr">
        <x:is>
          <x:t xml:space="preserve"/>
        </x:is>
      </x:c>
      <x:c r="O245" s="3" t="inlineStr">
        <x:is>
          <x:t xml:space="preserve"/>
        </x:is>
      </x:c>
      <x:c r="P245" s="26" t="str">
        <x:v>contato@vedatechvedacoes.com.br</x:v>
      </x:c>
      <x:c r="Q245" s="3" t="inlineStr">
        <x:is>
          <x:t xml:space="preserve"/>
        </x:is>
      </x:c>
      <x:c r="R245" s="5" t="n"/>
      <x:c r="S245" s="3" t="inlineStr">
        <x:is>
          <x:t xml:space="preserve"/>
        </x:is>
      </x:c>
      <x:c r="T245" s="3" t="inlineStr">
        <x:is>
          <x:t xml:space="preserve"/>
        </x:is>
      </x:c>
      <x:c r="U245" s="26" t="str">
        <x:v>https://vedatechvedacoes.com.br/c/uncategorized/</x:v>
      </x:c>
    </x:row>
    <x:row r="246">
      <x:c r="A246" s="2" t="n">
        <x:v>245</x:v>
      </x:c>
      <x:c r="B246" s="3" t="inlineStr">
        <x:is>
          <x:t xml:space="preserve">AM Soluções Industriais</x:t>
        </x:is>
      </x:c>
      <x:c r="C246" s="3" t="inlineStr">
        <x:is>
          <x:t xml:space="preserve">Hidráulica/Vedações</x:t>
        </x:is>
      </x:c>
      <x:c r="D246" s="3" t="inlineStr">
        <x:is>
          <x:t xml:space="preserve">Manaus</x:t>
        </x:is>
      </x:c>
      <x:c r="E246" s="2" t="inlineStr">
        <x:is>
          <x:t xml:space="preserve">AM</x:t>
        </x:is>
      </x:c>
      <x:c r="F246" s="2" t="inlineStr">
        <x:is>
          <x:t xml:space="preserve">Norte</x:t>
        </x:is>
      </x:c>
      <x:c r="G246" s="3" t="inlineStr">
        <x:is>
          <x:t xml:space="preserve">+55 92 3345-6762</x:t>
        </x:is>
      </x:c>
      <x:c r="H246" s="3" t="inlineStr">
        <x:is>
          <x:t xml:space="preserve">Av. Max Teixeira, 61 - Col. Santo Antônio</x:t>
        </x:is>
      </x:c>
      <x:c r="I246" s="4" t="n">
        <x:v>4.7</x:v>
      </x:c>
      <x:c r="J246" s="2" t="n">
        <x:v>22</x:v>
      </x:c>
      <x:c r="K246" s="2" t="n">
        <x:f>IF(OR(I246="",J246=""),"",IFERROR(ROUND(I246*LN(J246+1),1),""))</x:f>
        <x:v>14.7</x:v>
      </x:c>
      <x:c r="L246" s="2" t="str">
        <x:f>IF(K246="","Sem dados - qualificar",IF(K246&gt;=15,"A - Alta",IF(K246&gt;=8,"B - Média","C - Baixa")))</x:f>
        <x:v>B - Média</x:v>
      </x:c>
      <x:c r="M246" s="2" t="inlineStr">
        <x:is>
          <x:t xml:space="preserve">Não contatado</x:t>
        </x:is>
      </x:c>
      <x:c r="N246" s="3" t="inlineStr">
        <x:is>
          <x:t xml:space="preserve"/>
        </x:is>
      </x:c>
      <x:c r="O246" s="3" t="inlineStr">
        <x:is>
          <x:t xml:space="preserve"/>
        </x:is>
      </x:c>
      <x:c r="P246" s="26" t="str">
        <x:v>financeiro@amsolucoesindustriais.com.br</x:v>
      </x:c>
      <x:c r="Q246" s="3" t="inlineStr">
        <x:is>
          <x:t xml:space="preserve"/>
        </x:is>
      </x:c>
      <x:c r="R246" s="5" t="n"/>
      <x:c r="S246" s="3" t="inlineStr">
        <x:is>
          <x:t xml:space="preserve"/>
        </x:is>
      </x:c>
      <x:c r="T246" s="3" t="inlineStr">
        <x:is>
          <x:t xml:space="preserve"/>
        </x:is>
      </x:c>
      <x:c r="U246" s="26" t="str">
        <x:v>https://pesquisaempresas.com.br/consultando-empresa/22809239000140-am-solucoes-industriais-ltda</x:v>
      </x:c>
    </x:row>
    <x:row r="247">
      <x:c r="A247" s="2" t="n">
        <x:v>246</x:v>
      </x:c>
      <x:c r="B247" s="3" t="inlineStr">
        <x:is>
          <x:t xml:space="preserve">ATD Vedações</x:t>
        </x:is>
      </x:c>
      <x:c r="C247" s="3" t="inlineStr">
        <x:is>
          <x:t xml:space="preserve">Vedações</x:t>
        </x:is>
      </x:c>
      <x:c r="D247" s="3" t="inlineStr">
        <x:is>
          <x:t xml:space="preserve">Manaus</x:t>
        </x:is>
      </x:c>
      <x:c r="E247" s="2" t="inlineStr">
        <x:is>
          <x:t xml:space="preserve">AM</x:t>
        </x:is>
      </x:c>
      <x:c r="F247" s="2" t="inlineStr">
        <x:is>
          <x:t xml:space="preserve">Norte</x:t>
        </x:is>
      </x:c>
      <x:c r="G247" s="3" t="inlineStr">
        <x:is>
          <x:t xml:space="preserve">+55 92 99901-5228</x:t>
        </x:is>
      </x:c>
      <x:c r="H247" s="3" t="inlineStr">
        <x:is>
          <x:t xml:space="preserve">Av. Autaz Mirim, 2598 - Armando Mendes</x:t>
        </x:is>
      </x:c>
      <x:c r="I247" s="4" t="n">
        <x:v>4.6</x:v>
      </x:c>
      <x:c r="J247" s="2" t="n">
        <x:v>30</x:v>
      </x:c>
      <x:c r="K247" s="2" t="n">
        <x:f>IF(OR(I247="",J247=""),"",IFERROR(ROUND(I247*LN(J247+1),1),""))</x:f>
        <x:v>15.8</x:v>
      </x:c>
      <x:c r="L247" s="2" t="str">
        <x:f>IF(K247="","Sem dados - qualificar",IF(K247&gt;=15,"A - Alta",IF(K247&gt;=8,"B - Média","C - Baixa")))</x:f>
        <x:v>A - Alta</x:v>
      </x:c>
      <x:c r="M247" s="2" t="inlineStr">
        <x:is>
          <x:t xml:space="preserve">Não contatado</x:t>
        </x:is>
      </x:c>
      <x:c r="N247" s="3" t="inlineStr">
        <x:is>
          <x:t xml:space="preserve"/>
        </x:is>
      </x:c>
      <x:c r="O247" s="3" t="inlineStr">
        <x:is>
          <x:t xml:space="preserve"/>
        </x:is>
      </x:c>
      <x:c r="P247" s="26" t="str">
        <x:v>atdveda@hotmail.com</x:v>
      </x:c>
      <x:c r="Q247" s="3" t="inlineStr">
        <x:is>
          <x:t xml:space="preserve"/>
        </x:is>
      </x:c>
      <x:c r="R247" s="5" t="n"/>
      <x:c r="S247" s="3" t="inlineStr">
        <x:is>
          <x:t xml:space="preserve"/>
        </x:is>
      </x:c>
      <x:c r="T247" s="3" t="inlineStr">
        <x:is>
          <x:t xml:space="preserve"/>
        </x:is>
      </x:c>
      <x:c r="U247" s="26" t="str">
        <x:v>https://www.atdvedacoes.com.br/produto/anel-oring-em-viton-2/</x:v>
      </x:c>
    </x:row>
    <x:row r="248">
      <x:c r="A248" s="2" t="n">
        <x:v>247</x:v>
      </x:c>
      <x:c r="B248" s="3" t="inlineStr">
        <x:is>
          <x:t xml:space="preserve">AmazonVED</x:t>
        </x:is>
      </x:c>
      <x:c r="C248" s="3" t="inlineStr">
        <x:is>
          <x:t xml:space="preserve">Vedações</x:t>
        </x:is>
      </x:c>
      <x:c r="D248" s="3" t="inlineStr">
        <x:is>
          <x:t xml:space="preserve">Manaus</x:t>
        </x:is>
      </x:c>
      <x:c r="E248" s="2" t="inlineStr">
        <x:is>
          <x:t xml:space="preserve">AM</x:t>
        </x:is>
      </x:c>
      <x:c r="F248" s="2" t="inlineStr">
        <x:is>
          <x:t xml:space="preserve">Norte</x:t>
        </x:is>
      </x:c>
      <x:c r="G248" s="3" t="inlineStr">
        <x:is>
          <x:t xml:space="preserve">+55 92 99396-5706</x:t>
        </x:is>
      </x:c>
      <x:c r="H248" s="3" t="inlineStr">
        <x:is>
          <x:t xml:space="preserve">Rua Friburgo, 20 - Cidade Nova</x:t>
        </x:is>
      </x:c>
      <x:c r="I248" s="4" t="n">
        <x:v>5</x:v>
      </x:c>
      <x:c r="J248" s="2" t="n">
        <x:v>2</x:v>
      </x:c>
      <x:c r="K248" s="2" t="n">
        <x:f>IF(OR(I248="",J248=""),"",IFERROR(ROUND(I248*LN(J248+1),1),""))</x:f>
        <x:v>5.5</x:v>
      </x:c>
      <x:c r="L248" s="2" t="str">
        <x:f>IF(K248="","Sem dados - qualificar",IF(K248&gt;=15,"A - Alta",IF(K248&gt;=8,"B - Média","C - Baixa")))</x:f>
        <x:v>C - Baixa</x:v>
      </x:c>
      <x:c r="M248" s="2" t="inlineStr">
        <x:is>
          <x:t xml:space="preserve">Não contatado</x:t>
        </x:is>
      </x:c>
      <x:c r="N248" s="3" t="inlineStr">
        <x:is>
          <x:t xml:space="preserve"/>
        </x:is>
      </x:c>
      <x:c r="O248" s="3" t="inlineStr">
        <x:is>
          <x:t xml:space="preserve"/>
        </x:is>
      </x:c>
      <x:c r="P248" s="26" t="str"/>
      <x:c r="Q248" s="3" t="inlineStr">
        <x:is>
          <x:t xml:space="preserve"/>
        </x:is>
      </x:c>
      <x:c r="R248" s="5" t="n"/>
      <x:c r="S248" s="3" t="inlineStr">
        <x:is>
          <x:t xml:space="preserve"/>
        </x:is>
      </x:c>
      <x:c r="T248" s="3" t="inlineStr">
        <x:is>
          <x:t xml:space="preserve"/>
        </x:is>
      </x:c>
      <x:c r="U248" s="26" t="str">
        <x:v>Não localizado em fonte pública confiável até 24/07/2026</x:v>
      </x:c>
    </x:row>
    <x:row r="249">
      <x:c r="A249" s="2" t="n">
        <x:v>248</x:v>
      </x:c>
      <x:c r="B249" s="3" t="inlineStr">
        <x:is>
          <x:t xml:space="preserve">Casa dos Retentores RM de Moura</x:t>
        </x:is>
      </x:c>
      <x:c r="C249" s="3" t="inlineStr">
        <x:is>
          <x:t xml:space="preserve">Vedações</x:t>
        </x:is>
      </x:c>
      <x:c r="D249" s="3" t="inlineStr">
        <x:is>
          <x:t xml:space="preserve">Manaus</x:t>
        </x:is>
      </x:c>
      <x:c r="E249" s="2" t="inlineStr">
        <x:is>
          <x:t xml:space="preserve">AM</x:t>
        </x:is>
      </x:c>
      <x:c r="F249" s="2" t="inlineStr">
        <x:is>
          <x:t xml:space="preserve">Norte</x:t>
        </x:is>
      </x:c>
      <x:c r="G249" s="3" t="inlineStr">
        <x:is>
          <x:t xml:space="preserve">+55 92 3237-8944</x:t>
        </x:is>
      </x:c>
      <x:c r="H249" s="3" t="inlineStr">
        <x:is>
          <x:t xml:space="preserve">Av. Silves, 1080 - Raiz</x:t>
        </x:is>
      </x:c>
      <x:c r="I249" s="4" t="n">
        <x:v>4.3</x:v>
      </x:c>
      <x:c r="J249" s="2" t="n">
        <x:v>36</x:v>
      </x:c>
      <x:c r="K249" s="2" t="n">
        <x:f>IF(OR(I249="",J249=""),"",IFERROR(ROUND(I249*LN(J249+1),1),""))</x:f>
        <x:v>15.5</x:v>
      </x:c>
      <x:c r="L249" s="2" t="str">
        <x:f>IF(K249="","Sem dados - qualificar",IF(K249&gt;=15,"A - Alta",IF(K249&gt;=8,"B - Média","C - Baixa")))</x:f>
        <x:v>A - Alta</x:v>
      </x:c>
      <x:c r="M249" s="2" t="inlineStr">
        <x:is>
          <x:t xml:space="preserve">Não contatado</x:t>
        </x:is>
      </x:c>
      <x:c r="N249" s="3" t="inlineStr">
        <x:is>
          <x:t xml:space="preserve"/>
        </x:is>
      </x:c>
      <x:c r="O249" s="3" t="inlineStr">
        <x:is>
          <x:t xml:space="preserve"/>
        </x:is>
      </x:c>
      <x:c r="P249" s="26" t="str"/>
      <x:c r="Q249" s="3" t="inlineStr">
        <x:is>
          <x:t xml:space="preserve"/>
        </x:is>
      </x:c>
      <x:c r="R249" s="5" t="n"/>
      <x:c r="S249" s="3" t="inlineStr">
        <x:is>
          <x:t xml:space="preserve"/>
        </x:is>
      </x:c>
      <x:c r="T249" s="3" t="inlineStr">
        <x:is>
          <x:t xml:space="preserve"/>
        </x:is>
      </x:c>
      <x:c r="U249" s="26" t="str">
        <x:v>Não localizado em fonte pública confiável até 24/07/2026</x:v>
      </x:c>
    </x:row>
    <x:row r="250">
      <x:c r="A250" s="2" t="n">
        <x:v>249</x:v>
      </x:c>
      <x:c r="B250" s="3" t="inlineStr">
        <x:is>
          <x:t xml:space="preserve">Rei das Mangueiras Ind. e Com.</x:t>
        </x:is>
      </x:c>
      <x:c r="C250" s="3" t="inlineStr">
        <x:is>
          <x:t xml:space="preserve">Hidráulica/Vedações</x:t>
        </x:is>
      </x:c>
      <x:c r="D250" s="3" t="inlineStr">
        <x:is>
          <x:t xml:space="preserve">Manaus</x:t>
        </x:is>
      </x:c>
      <x:c r="E250" s="2" t="inlineStr">
        <x:is>
          <x:t xml:space="preserve">AM</x:t>
        </x:is>
      </x:c>
      <x:c r="F250" s="2" t="inlineStr">
        <x:is>
          <x:t xml:space="preserve">Norte</x:t>
        </x:is>
      </x:c>
      <x:c r="G250" s="3" t="inlineStr">
        <x:is>
          <x:t xml:space="preserve">+55 92 3133-1350</x:t>
        </x:is>
      </x:c>
      <x:c r="H250" s="3" t="inlineStr">
        <x:is>
          <x:t xml:space="preserve">Av. Urucará, 880 - Cachoeirinha</x:t>
        </x:is>
      </x:c>
      <x:c r="I250" s="4" t="n">
        <x:v>4.5</x:v>
      </x:c>
      <x:c r="J250" s="2" t="n">
        <x:v>173</x:v>
      </x:c>
      <x:c r="K250" s="2" t="n">
        <x:f>IF(OR(I250="",J250=""),"",IFERROR(ROUND(I250*LN(J250+1),1),""))</x:f>
        <x:v>23.2</x:v>
      </x:c>
      <x:c r="L250" s="2" t="str">
        <x:f>IF(K250="","Sem dados - qualificar",IF(K250&gt;=15,"A - Alta",IF(K250&gt;=8,"B - Média","C - Baixa")))</x:f>
        <x:v>A - Alta</x:v>
      </x:c>
      <x:c r="M250" s="2" t="inlineStr">
        <x:is>
          <x:t xml:space="preserve">Não contatado</x:t>
        </x:is>
      </x:c>
      <x:c r="N250" s="3" t="inlineStr">
        <x:is>
          <x:t xml:space="preserve"/>
        </x:is>
      </x:c>
      <x:c r="O250" s="3" t="inlineStr">
        <x:is>
          <x:t xml:space="preserve"/>
        </x:is>
      </x:c>
      <x:c r="P250" s="26" t="str">
        <x:v>vendas@reidasmangueiras.com.br</x:v>
      </x:c>
      <x:c r="Q250" s="3" t="inlineStr">
        <x:is>
          <x:t xml:space="preserve"/>
        </x:is>
      </x:c>
      <x:c r="R250" s="5" t="n"/>
      <x:c r="S250" s="3" t="inlineStr">
        <x:is>
          <x:t xml:space="preserve"/>
        </x:is>
      </x:c>
      <x:c r="T250" s="3" t="inlineStr">
        <x:is>
          <x:t xml:space="preserve"/>
        </x:is>
      </x:c>
      <x:c r="U250" s="26" t="str">
        <x:v>https://reidasmangueiras.com.br/</x:v>
      </x:c>
    </x:row>
    <x:row r="251">
      <x:c r="A251" s="2" t="n">
        <x:v>250</x:v>
      </x:c>
      <x:c r="B251" s="3" t="inlineStr">
        <x:is>
          <x:t xml:space="preserve">Vedações Manaus</x:t>
        </x:is>
      </x:c>
      <x:c r="C251" s="3" t="inlineStr">
        <x:is>
          <x:t xml:space="preserve">Vedações</x:t>
        </x:is>
      </x:c>
      <x:c r="D251" s="3" t="inlineStr">
        <x:is>
          <x:t xml:space="preserve">Manaus</x:t>
        </x:is>
      </x:c>
      <x:c r="E251" s="2" t="inlineStr">
        <x:is>
          <x:t xml:space="preserve">AM</x:t>
        </x:is>
      </x:c>
      <x:c r="F251" s="2" t="inlineStr">
        <x:is>
          <x:t xml:space="preserve">Norte</x:t>
        </x:is>
      </x:c>
      <x:c r="G251" s="3" t="inlineStr">
        <x:is>
          <x:t xml:space="preserve">+55 92 3237-7411</x:t>
        </x:is>
      </x:c>
      <x:c r="H251" s="3" t="inlineStr">
        <x:is>
          <x:t xml:space="preserve">Av. Silves, 740 - Crespo</x:t>
        </x:is>
      </x:c>
      <x:c r="I251" s="4" t="n">
        <x:v>4.5</x:v>
      </x:c>
      <x:c r="J251" s="2" t="n">
        <x:v>116</x:v>
      </x:c>
      <x:c r="K251" s="2" t="n">
        <x:f>IF(OR(I251="",J251=""),"",IFERROR(ROUND(I251*LN(J251+1),1),""))</x:f>
        <x:v>21.4</x:v>
      </x:c>
      <x:c r="L251" s="2" t="str">
        <x:f>IF(K251="","Sem dados - qualificar",IF(K251&gt;=15,"A - Alta",IF(K251&gt;=8,"B - Média","C - Baixa")))</x:f>
        <x:v>A - Alta</x:v>
      </x:c>
      <x:c r="M251" s="2" t="inlineStr">
        <x:is>
          <x:t xml:space="preserve">Não contatado</x:t>
        </x:is>
      </x:c>
      <x:c r="N251" s="3" t="inlineStr">
        <x:is>
          <x:t xml:space="preserve"/>
        </x:is>
      </x:c>
      <x:c r="O251" s="3" t="inlineStr">
        <x:is>
          <x:t xml:space="preserve"/>
        </x:is>
      </x:c>
      <x:c r="P251" s="26" t="str">
        <x:v>vedacoesmanaus@veloxmail.com.br</x:v>
      </x:c>
      <x:c r="Q251" s="3" t="inlineStr">
        <x:is>
          <x:t xml:space="preserve"/>
        </x:is>
      </x:c>
      <x:c r="R251" s="5" t="n"/>
      <x:c r="S251" s="3" t="inlineStr">
        <x:is>
          <x:t xml:space="preserve"/>
        </x:is>
      </x:c>
      <x:c r="T251" s="3" t="inlineStr">
        <x:is>
          <x:t xml:space="preserve"/>
        </x:is>
      </x:c>
      <x:c r="U251" s="26" t="str">
        <x:v>https://guiamanaus.com.br/clientes/visualizar/3015</x:v>
      </x:c>
    </x:row>
    <x:row r="252">
      <x:c r="A252" s="2" t="n">
        <x:v>251</x:v>
      </x:c>
      <x:c r="B252" s="3" t="inlineStr">
        <x:is>
          <x:t xml:space="preserve">Fellows Belém Vedações Industriais</x:t>
        </x:is>
      </x:c>
      <x:c r="C252" s="3" t="inlineStr">
        <x:is>
          <x:t xml:space="preserve">Vedações</x:t>
        </x:is>
      </x:c>
      <x:c r="D252" s="3" t="inlineStr">
        <x:is>
          <x:t xml:space="preserve">Belém</x:t>
        </x:is>
      </x:c>
      <x:c r="E252" s="2" t="inlineStr">
        <x:is>
          <x:t xml:space="preserve">PA</x:t>
        </x:is>
      </x:c>
      <x:c r="F252" s="2" t="inlineStr">
        <x:is>
          <x:t xml:space="preserve">Norte</x:t>
        </x:is>
      </x:c>
      <x:c r="G252" s="3" t="inlineStr">
        <x:is>
          <x:t xml:space="preserve">+55 91 3249-6435</x:t>
        </x:is>
      </x:c>
      <x:c r="H252" s="3" t="inlineStr">
        <x:is>
          <x:t xml:space="preserve">Tv. dos Apinagés, 1887 - Condor</x:t>
        </x:is>
      </x:c>
      <x:c r="I252" s="4" t="n"/>
      <x:c r="J252" s="2" t="n"/>
      <x:c r="K252" s="2" t="str">
        <x:f>IF(OR(I252="",J252=""),"",IFERROR(ROUND(I252*LN(J252+1),1),""))</x:f>
      </x:c>
      <x:c r="L252" s="2" t="str">
        <x:f>IF(K252="","Sem dados - qualificar",IF(K252&gt;=15,"A - Alta",IF(K252&gt;=8,"B - Média","C - Baixa")))</x:f>
        <x:v>Sem dados - qualificar</x:v>
      </x:c>
      <x:c r="M252" s="2" t="inlineStr">
        <x:is>
          <x:t xml:space="preserve">Não contatado</x:t>
        </x:is>
      </x:c>
      <x:c r="N252" s="3" t="inlineStr">
        <x:is>
          <x:t xml:space="preserve"/>
        </x:is>
      </x:c>
      <x:c r="O252" s="3" t="inlineStr">
        <x:is>
          <x:t xml:space="preserve"/>
        </x:is>
      </x:c>
      <x:c r="P252" s="26" t="str"/>
      <x:c r="Q252" s="3" t="inlineStr">
        <x:is>
          <x:t xml:space="preserve"/>
        </x:is>
      </x:c>
      <x:c r="R252" s="5" t="n"/>
      <x:c r="S252" s="3" t="inlineStr">
        <x:is>
          <x:t xml:space="preserve"/>
        </x:is>
      </x:c>
      <x:c r="T252" s="3" t="inlineStr">
        <x:is>
          <x:t xml:space="preserve"/>
        </x:is>
      </x:c>
      <x:c r="U252" s="26" t="str">
        <x:v>Não localizado em fonte pública confiável até 24/07/2026</x:v>
      </x:c>
    </x:row>
  </x:sheetData>
  <x:dataValidations count="1">
    <x:dataValidation type="list" allowBlank="1" showDropDown="0" showInputMessage="0" showErrorMessage="0" sqref="M2:M252">
      <x:formula1>"Não contatado,Contato feito,Em negociação,Amostra enviada,Cliente ativo,Sem interesse,Sem retorno"</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34" customWidth="1"/>
    <x:col min="2" max="2" width="14" customWidth="1"/>
    <x:col min="3" max="3" width="12" customWidth="1"/>
  </x:cols>
  <x:sheetData>
    <x:row r="1">
      <x:c r="A1" s="6" t="inlineStr">
        <x:is>
          <x:t xml:space="preserve">PARTS SEALS — Carteira Comercial Nacional</x:t>
        </x:is>
      </x:c>
    </x:row>
    <x:row r="2">
      <x:c r="A2" s="7" t="inlineStr">
        <x:is>
          <x:t xml:space="preserve">Revendas e distribuidores de vedações — base coletada em 23/07/2026 (Google Places + pesquisa web)</x:t>
        </x:is>
      </x:c>
    </x:row>
    <x:row r="3"/>
    <x:row r="4">
      <x:c r="A4" s="8" t="inlineStr">
        <x:is>
          <x:t xml:space="preserve">Total de empresas na base</x:t>
        </x:is>
      </x:c>
      <x:c r="B4" s="8" t="n">
        <x:f>COUNTA(Carteira!B2:B252)</x:f>
        <x:v>251</x:v>
      </x:c>
      <x:c r="C4" s="8" t="n"/>
    </x:row>
    <x:row r="5">
      <x:c r="A5" s="8" t="inlineStr">
        <x:is>
          <x:t xml:space="preserve">Prioridade A (alta)</x:t>
        </x:is>
      </x:c>
      <x:c r="B5" s="8" t="n">
        <x:f>COUNTIF(Carteira!L2:L252,"A - Alta")</x:f>
        <x:v>97</x:v>
      </x:c>
      <x:c r="C5" s="8" t="n"/>
    </x:row>
    <x:row r="6">
      <x:c r="A6" s="8" t="inlineStr">
        <x:is>
          <x:t xml:space="preserve">Prioridade B (média)</x:t>
        </x:is>
      </x:c>
      <x:c r="B6" s="8" t="n">
        <x:f>COUNTIF(Carteira!L2:L252,"B - Média")</x:f>
        <x:v>97</x:v>
      </x:c>
      <x:c r="C6" s="8" t="n"/>
    </x:row>
    <x:row r="7">
      <x:c r="A7" s="8" t="inlineStr">
        <x:is>
          <x:t xml:space="preserve">Prioridade C (baixa)</x:t>
        </x:is>
      </x:c>
      <x:c r="B7" s="8" t="n">
        <x:f>COUNTIF(Carteira!L2:L252,"C - Baixa")</x:f>
        <x:v>38</x:v>
      </x:c>
      <x:c r="C7" s="8" t="n"/>
    </x:row>
    <x:row r="8">
      <x:c r="A8" s="8" t="inlineStr">
        <x:is>
          <x:t xml:space="preserve">Sem avaliação no Google (qualificar)</x:t>
        </x:is>
      </x:c>
      <x:c r="B8" s="8" t="n">
        <x:f>COUNTIF(Carteira!L2:L252,"Sem dados - qualificar")</x:f>
        <x:v>19</x:v>
      </x:c>
      <x:c r="C8" s="8" t="n"/>
    </x:row>
    <x:row r="9">
      <x:c r="A9" s="8" t="inlineStr">
        <x:is>
          <x:t xml:space="preserve">Já contatadas</x:t>
        </x:is>
      </x:c>
      <x:c r="B9" s="8" t="n">
        <x:f>COUNTA(Carteira!M2:M252)-COUNTIF(Carteira!M2:M252,"Não contatado")</x:f>
        <x:v>0</x:v>
      </x:c>
      <x:c r="C9" s="8" t="n"/>
    </x:row>
    <x:row r="10">
      <x:c r="A10" s="8" t="inlineStr">
        <x:is>
          <x:t xml:space="preserve">Clientes ativos</x:t>
        </x:is>
      </x:c>
      <x:c r="B10" s="8" t="n">
        <x:f>COUNTIF(Carteira!M2:M252,"Cliente ativo")</x:f>
        <x:v>0</x:v>
      </x:c>
      <x:c r="C10" s="8" t="n"/>
    </x:row>
    <x:row r="11">
      <x:c r="A11" s="8" t="inlineStr">
        <x:is>
          <x:t xml:space="preserve">Com e-mail verificado</x:t>
        </x:is>
      </x:c>
      <x:c r="B11" s="8" t="n">
        <x:f>COUNTIF(Carteira!P2:P252,"?*")</x:f>
        <x:v>0</x:v>
      </x:c>
      <x:c r="C11" s="8" t="n"/>
    </x:row>
    <x:row r="12">
      <x:c r="A12" s="8" t="n"/>
      <x:c r="B12" s="8" t="n"/>
      <x:c r="C12" s="8" t="n"/>
    </x:row>
    <x:row r="13">
      <x:c r="A13" s="9" t="inlineStr">
        <x:is>
          <x:t xml:space="preserve">DISTRIBUIÇÃO POR REGIÃO</x:t>
        </x:is>
      </x:c>
      <x:c r="B13" s="8" t="n"/>
      <x:c r="C13" s="8" t="n"/>
    </x:row>
    <x:row r="14">
      <x:c r="A14" s="10" t="inlineStr">
        <x:is>
          <x:t xml:space="preserve">Região</x:t>
        </x:is>
      </x:c>
      <x:c r="B14" s="10" t="inlineStr">
        <x:is>
          <x:t xml:space="preserve">Empresas</x:t>
        </x:is>
      </x:c>
      <x:c r="C14" s="10" t="inlineStr">
        <x:is>
          <x:t xml:space="preserve">% da base</x:t>
        </x:is>
      </x:c>
    </x:row>
    <x:row r="15">
      <x:c r="A15" s="8" t="inlineStr">
        <x:is>
          <x:t xml:space="preserve">Sudeste</x:t>
        </x:is>
      </x:c>
      <x:c r="B15" s="8" t="n">
        <x:f>COUNTIF(Carteira!F2:F252,A15)</x:f>
        <x:v>151</x:v>
      </x:c>
      <x:c r="C15" s="11" t="n">
        <x:f>IFERROR(B15/$B$4,"")</x:f>
        <x:v>0.601593625498008</x:v>
      </x:c>
    </x:row>
    <x:row r="16">
      <x:c r="A16" s="8" t="inlineStr">
        <x:is>
          <x:t xml:space="preserve">Sul</x:t>
        </x:is>
      </x:c>
      <x:c r="B16" s="8" t="n">
        <x:f>COUNTIF(Carteira!F2:F252,A16)</x:f>
        <x:v>51</x:v>
      </x:c>
      <x:c r="C16" s="11" t="n">
        <x:f>IFERROR(B16/$B$4,"")</x:f>
        <x:v>0.20318725099601595</x:v>
      </x:c>
    </x:row>
    <x:row r="17">
      <x:c r="A17" s="8" t="inlineStr">
        <x:is>
          <x:t xml:space="preserve">Centro-Oeste</x:t>
        </x:is>
      </x:c>
      <x:c r="B17" s="8" t="n">
        <x:f>COUNTIF(Carteira!F2:F252,A17)</x:f>
        <x:v>17</x:v>
      </x:c>
      <x:c r="C17" s="11" t="n">
        <x:f>IFERROR(B17/$B$4,"")</x:f>
        <x:v>0.06772908366533864</x:v>
      </x:c>
    </x:row>
    <x:row r="18">
      <x:c r="A18" s="8" t="inlineStr">
        <x:is>
          <x:t xml:space="preserve">Nordeste</x:t>
        </x:is>
      </x:c>
      <x:c r="B18" s="8" t="n">
        <x:f>COUNTIF(Carteira!F2:F252,A18)</x:f>
        <x:v>25</x:v>
      </x:c>
      <x:c r="C18" s="11" t="n">
        <x:f>IFERROR(B18/$B$4,"")</x:f>
        <x:v>0.099601593625498</x:v>
      </x:c>
    </x:row>
    <x:row r="19">
      <x:c r="A19" s="9" t="inlineStr">
        <x:is>
          <x:t xml:space="preserve">DISTRIBUIÇÃO POR UF</x:t>
        </x:is>
      </x:c>
      <x:c r="B19" s="8" t="n">
        <x:f>COUNTIF(Carteira!F2:F252,A19)</x:f>
        <x:v>0</x:v>
      </x:c>
      <x:c r="C19" s="11" t="n">
        <x:f>IFERROR(B19/$B$4,"")</x:f>
        <x:v>0</x:v>
      </x:c>
    </x:row>
    <x:row r="20">
      <x:c r="A20" s="10" t="inlineStr">
        <x:is>
          <x:t xml:space="preserve">UF</x:t>
        </x:is>
      </x:c>
      <x:c r="B20" s="10" t="inlineStr">
        <x:is>
          <x:t xml:space="preserve">Empresas</x:t>
        </x:is>
      </x:c>
      <x:c r="C20" s="8" t="n"/>
    </x:row>
    <x:row r="21">
      <x:c r="A21" s="8" t="inlineStr">
        <x:is>
          <x:t xml:space="preserve">AM</x:t>
        </x:is>
      </x:c>
      <x:c r="B21" s="8" t="n">
        <x:f>COUNTIF(Carteira!E2:E252,A21)</x:f>
        <x:v>6</x:v>
      </x:c>
      <x:c r="C21" s="8" t="n"/>
    </x:row>
    <x:row r="22">
      <x:c r="A22" s="8" t="inlineStr">
        <x:is>
          <x:t xml:space="preserve">BA</x:t>
        </x:is>
      </x:c>
      <x:c r="B22" s="8" t="n">
        <x:f>COUNTIF(Carteira!E2:E252,A22)</x:f>
        <x:v>8</x:v>
      </x:c>
      <x:c r="C22" s="8" t="n"/>
    </x:row>
    <x:row r="23">
      <x:c r="A23" s="8" t="inlineStr">
        <x:is>
          <x:t xml:space="preserve">CE</x:t>
        </x:is>
      </x:c>
      <x:c r="B23" s="8" t="n">
        <x:f>COUNTIF(Carteira!E2:E252,A23)</x:f>
        <x:v>4</x:v>
      </x:c>
      <x:c r="C23" s="8" t="n"/>
    </x:row>
    <x:row r="24">
      <x:c r="A24" s="8" t="inlineStr">
        <x:is>
          <x:t xml:space="preserve">DF</x:t>
        </x:is>
      </x:c>
      <x:c r="B24" s="8" t="n">
        <x:f>COUNTIF(Carteira!E2:E252,A24)</x:f>
        <x:v>1</x:v>
      </x:c>
      <x:c r="C24" s="8" t="n"/>
    </x:row>
    <x:row r="25">
      <x:c r="A25" s="8" t="inlineStr">
        <x:is>
          <x:t xml:space="preserve">ES</x:t>
        </x:is>
      </x:c>
      <x:c r="B25" s="8" t="n">
        <x:f>COUNTIF(Carteira!E2:E252,A25)</x:f>
        <x:v>8</x:v>
      </x:c>
      <x:c r="C25" s="8" t="n"/>
    </x:row>
    <x:row r="26">
      <x:c r="A26" s="8" t="inlineStr">
        <x:is>
          <x:t xml:space="preserve">GO</x:t>
        </x:is>
      </x:c>
      <x:c r="B26" s="8" t="n">
        <x:f>COUNTIF(Carteira!E2:E252,A26)</x:f>
        <x:v>6</x:v>
      </x:c>
      <x:c r="C26" s="8" t="n"/>
    </x:row>
    <x:row r="27">
      <x:c r="A27" s="8" t="inlineStr">
        <x:is>
          <x:t xml:space="preserve">MG</x:t>
        </x:is>
      </x:c>
      <x:c r="B27" s="8" t="n">
        <x:f>COUNTIF(Carteira!E2:E252,A27)</x:f>
        <x:v>18</x:v>
      </x:c>
      <x:c r="C27" s="8" t="n"/>
    </x:row>
    <x:row r="28">
      <x:c r="A28" s="8" t="inlineStr">
        <x:is>
          <x:t xml:space="preserve">MS</x:t>
        </x:is>
      </x:c>
      <x:c r="B28" s="8" t="n">
        <x:f>COUNTIF(Carteira!E2:E252,A28)</x:f>
        <x:v>1</x:v>
      </x:c>
      <x:c r="C28" s="8" t="n"/>
    </x:row>
    <x:row r="29">
      <x:c r="A29" s="8" t="inlineStr">
        <x:is>
          <x:t xml:space="preserve">MT</x:t>
        </x:is>
      </x:c>
      <x:c r="B29" s="8" t="n">
        <x:f>COUNTIF(Carteira!E2:E252,A29)</x:f>
        <x:v>9</x:v>
      </x:c>
      <x:c r="C29" s="8" t="n"/>
    </x:row>
    <x:row r="30">
      <x:c r="A30" s="8" t="inlineStr">
        <x:is>
          <x:t xml:space="preserve">PA</x:t>
        </x:is>
      </x:c>
      <x:c r="B30" s="8" t="n">
        <x:f>COUNTIF(Carteira!E2:E252,A30)</x:f>
        <x:v>1</x:v>
      </x:c>
      <x:c r="C30" s="8" t="n"/>
    </x:row>
    <x:row r="31">
      <x:c r="A31" s="8" t="inlineStr">
        <x:is>
          <x:t xml:space="preserve">PB</x:t>
        </x:is>
      </x:c>
      <x:c r="B31" s="8" t="n">
        <x:f>COUNTIF(Carteira!E2:E252,A31)</x:f>
        <x:v>2</x:v>
      </x:c>
      <x:c r="C31" s="8" t="n"/>
    </x:row>
    <x:row r="32">
      <x:c r="A32" s="8" t="inlineStr">
        <x:is>
          <x:t xml:space="preserve">PE</x:t>
        </x:is>
      </x:c>
      <x:c r="B32" s="8" t="n">
        <x:f>COUNTIF(Carteira!E2:E252,A32)</x:f>
        <x:v>7</x:v>
      </x:c>
      <x:c r="C32" s="8" t="n"/>
    </x:row>
    <x:row r="33">
      <x:c r="A33" s="8" t="inlineStr">
        <x:is>
          <x:t xml:space="preserve">PR</x:t>
        </x:is>
      </x:c>
      <x:c r="B33" s="8" t="n">
        <x:f>COUNTIF(Carteira!E2:E252,A33)</x:f>
        <x:v>18</x:v>
      </x:c>
      <x:c r="C33" s="8" t="n"/>
    </x:row>
    <x:row r="34">
      <x:c r="A34" s="8" t="inlineStr">
        <x:is>
          <x:t xml:space="preserve">RJ</x:t>
        </x:is>
      </x:c>
      <x:c r="B34" s="8" t="n">
        <x:f>COUNTIF(Carteira!E2:E252,A34)</x:f>
        <x:v>9</x:v>
      </x:c>
      <x:c r="C34" s="8" t="n"/>
    </x:row>
    <x:row r="35">
      <x:c r="A35" s="8" t="inlineStr">
        <x:is>
          <x:t xml:space="preserve">RN</x:t>
        </x:is>
      </x:c>
      <x:c r="B35" s="8" t="n">
        <x:f>COUNTIF(Carteira!E2:E252,A35)</x:f>
        <x:v>2</x:v>
      </x:c>
      <x:c r="C35" s="8" t="n"/>
    </x:row>
    <x:row r="36">
      <x:c r="A36" s="8" t="inlineStr">
        <x:is>
          <x:t xml:space="preserve">RS</x:t>
        </x:is>
      </x:c>
      <x:c r="B36" s="8" t="n">
        <x:f>COUNTIF(Carteira!E2:E252,A36)</x:f>
        <x:v>17</x:v>
      </x:c>
      <x:c r="C36" s="8" t="n"/>
    </x:row>
    <x:row r="37">
      <x:c r="A37" s="8" t="inlineStr">
        <x:is>
          <x:t xml:space="preserve">SC</x:t>
        </x:is>
      </x:c>
      <x:c r="B37" s="8" t="n">
        <x:f>COUNTIF(Carteira!E2:E252,A37)</x:f>
        <x:v>16</x:v>
      </x:c>
      <x:c r="C37" s="8" t="n"/>
    </x:row>
    <x:row r="38">
      <x:c r="A38" s="8" t="inlineStr">
        <x:is>
          <x:t xml:space="preserve">SE</x:t>
        </x:is>
      </x:c>
      <x:c r="B38" s="8" t="n">
        <x:f>COUNTIF(Carteira!E2:E252,A38)</x:f>
        <x:v>2</x:v>
      </x:c>
      <x:c r="C38" s="8" t="n"/>
    </x:row>
    <x:row r="39">
      <x:c r="A39" s="8" t="inlineStr">
        <x:is>
          <x:t xml:space="preserve">SP</x:t>
        </x:is>
      </x:c>
      <x:c r="B39" s="8" t="n">
        <x:f>COUNTIF(Carteira!E2:E252,A39)</x:f>
        <x:v>116</x:v>
      </x:c>
      <x:c r="C39" s="8" t="n"/>
    </x:row>
    <x:row r="40">
      <x:c r="A40" s="8" t="n"/>
      <x:c r="B40" s="8" t="n"/>
      <x:c r="C40" s="8" t="n"/>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8" customWidth="1"/>
  </x:cols>
  <x:sheetData>
    <x:row r="1">
      <x:c r="A1" s="12" t="inlineStr">
        <x:is>
          <x:t xml:space="preserve">PARTS SEALS — MANUAL DA CARTEIRA COMERCIAL</x:t>
        </x:is>
      </x:c>
    </x:row>
    <x:row r="2">
      <x:c r="A2" s="8" t="inlineStr">
        <x:is>
          <x:t xml:space="preserve"/>
        </x:is>
      </x:c>
    </x:row>
    <x:row r="3">
      <x:c r="A3" s="9" t="inlineStr">
        <x:is>
          <x:t xml:space="preserve">ORIGEM DOS DADOS</x:t>
        </x:is>
      </x:c>
    </x:row>
    <x:row r="4">
      <x:c r="A4" s="8" t="inlineStr">
        <x:is>
          <x:t xml:space="preserve">Nome, cidade, UF, telefone e endereço vieram do Google Places (coleta 23/07/2026).</x:t>
        </x:is>
      </x:c>
    </x:row>
    <x:row r="5">
      <x:c r="A5" s="8" t="inlineStr">
        <x:is>
          <x:t xml:space="preserve">Nota e Nº de avaliações são do Google Maps na data da coleta.</x:t>
        </x:is>
      </x:c>
    </x:row>
    <x:row r="6">
      <x:c r="A6" s="8" t="inlineStr">
        <x:is>
          <x:t xml:space="preserve">Nenhum registro foi inventado. Campos sem dado ficaram em branco de propósito.</x:t>
        </x:is>
      </x:c>
    </x:row>
    <x:row r="7">
      <x:c r="A7" s="8" t="inlineStr">
        <x:is>
          <x:t xml:space="preserve">E-mail e nome do contato NÃO estão disponíveis nessa fonte — preencher no 1º contato.</x:t>
        </x:is>
      </x:c>
    </x:row>
    <x:row r="8">
      <x:c r="A8" s="8" t="inlineStr">
        <x:is>
          <x:t xml:space="preserve"/>
        </x:is>
      </x:c>
    </x:row>
    <x:row r="9">
      <x:c r="A9" s="9" t="inlineStr">
        <x:is>
          <x:t xml:space="preserve">COLUNAS QUE VOCÊ PREENCHE (as demais são fixas ou calculadas)</x:t>
        </x:is>
      </x:c>
    </x:row>
    <x:row r="10">
      <x:c r="A10" s="8" t="inlineStr">
        <x:is>
          <x:t xml:space="preserve">Status — lista suspensa: Não contatado / Contato feito / Em negociação / Amostra enviada /</x:t>
        </x:is>
      </x:c>
    </x:row>
    <x:row r="11">
      <x:c r="A11" s="8" t="inlineStr">
        <x:is>
          <x:t xml:space="preserve">         Cliente ativo / Sem interesse / Sem retorno</x:t>
        </x:is>
      </x:c>
    </x:row>
    <x:row r="12">
      <x:c r="A12" s="8" t="inlineStr">
        <x:is>
          <x:t xml:space="preserve">Responsável, Contato (nome), E-mail, WhatsApp, Data 1º Contato, Próximo Passo, Observações</x:t>
        </x:is>
      </x:c>
    </x:row>
    <x:row r="13">
      <x:c r="A13" s="8" t="inlineStr">
        <x:is>
          <x:t xml:space="preserve"/>
        </x:is>
      </x:c>
    </x:row>
    <x:row r="14">
      <x:c r="A14" s="9" t="inlineStr">
        <x:is>
          <x:t xml:space="preserve">COLUNAS CALCULADAS (não editar)</x:t>
        </x:is>
      </x:c>
    </x:row>
    <x:row r="15">
      <x:c r="A15" s="8" t="inlineStr">
        <x:is>
          <x:t xml:space="preserve">Score = Nota × LN(Nº Avaliações + 1). Proxy de porte e presença de mercado.</x:t>
        </x:is>
      </x:c>
    </x:row>
    <x:row r="16">
      <x:c r="A16" s="8" t="inlineStr">
        <x:is>
          <x:t xml:space="preserve">Prioridade: A ≥ 15 · B ≥ 8 · C &lt; 8 · 'Sem dados' quando não há avaliação no Google.</x:t>
        </x:is>
      </x:c>
    </x:row>
    <x:row r="17">
      <x:c r="A17" s="8" t="inlineStr">
        <x:is>
          <x:t xml:space="preserve">Atenção: Score baixo NÃO significa empresa pequena — significa pouca presença digital.</x:t>
        </x:is>
      </x:c>
    </x:row>
    <x:row r="18">
      <x:c r="A18" s="8" t="inlineStr">
        <x:is>
          <x:t xml:space="preserve">Várias distribuidoras grandes têm poucas avaliações. Use como fila, não como veredito.</x:t>
        </x:is>
      </x:c>
    </x:row>
    <x:row r="19">
      <x:c r="A19" s="8" t="inlineStr">
        <x:is>
          <x:t xml:space="preserve"/>
        </x:is>
      </x:c>
    </x:row>
    <x:row r="20">
      <x:c r="A20" s="9" t="inlineStr">
        <x:is>
          <x:t xml:space="preserve">COMO TRABALHAR A LISTA</x:t>
        </x:is>
      </x:c>
    </x:row>
    <x:row r="21">
      <x:c r="A21" s="8" t="inlineStr">
        <x:is>
          <x:t xml:space="preserve">1. Filtre por Região/UF e comece pelo seu raio logístico (SP interior → Campinas, Piracicaba,</x:t>
        </x:is>
      </x:c>
    </x:row>
    <x:row r="22">
      <x:c r="A22" s="8" t="inlineStr">
        <x:is>
          <x:t xml:space="preserve">   Limeira, Americana, Jundiaí, Sorocaba — mais de 40 empresas a menos de 150 km).</x:t>
        </x:is>
      </x:c>
    </x:row>
    <x:row r="23">
      <x:c r="A23" s="8" t="inlineStr">
        <x:is>
          <x:t xml:space="preserve">2. Dentro do filtro, ordene por Score decrescente e ataque as Prioridade A primeiro.</x:t>
        </x:is>
      </x:c>
    </x:row>
    <x:row r="24">
      <x:c r="A24" s="8" t="inlineStr">
        <x:is>
          <x:t xml:space="preserve">3. Registre TODO contato na mesma linha. A aba Resumo recalcula sozinha.</x:t>
        </x:is>
      </x:c>
    </x:row>
    <x:row r="25">
      <x:c r="A25" s="8" t="inlineStr">
        <x:is>
          <x:t xml:space="preserve"/>
        </x:is>
      </x:c>
    </x:row>
    <x:row r="26">
      <x:c r="A26" s="9" t="inlineStr">
        <x:is>
          <x:t xml:space="preserve">SEGMENTOS NA COLUNA C</x:t>
        </x:is>
      </x:c>
    </x:row>
    <x:row r="27">
      <x:c r="A27" s="8" t="inlineStr">
        <x:is>
          <x:t xml:space="preserve">Vedações — revenda pura, alvo principal.</x:t>
        </x:is>
      </x:c>
    </x:row>
    <x:row r="28">
      <x:c r="A28" s="8" t="inlineStr">
        <x:is>
          <x:t xml:space="preserve">Fabricante/Vedações — fabrica e revende: pode ser cliente OU concorrente. Qualificar antes.</x:t>
        </x:is>
      </x:c>
    </x:row>
    <x:row r="29">
      <x:c r="A29" s="8" t="inlineStr">
        <x:is>
          <x:t xml:space="preserve">Rolamentos/Vedações — revenda de rolamentos que carrega retentor. Excelente porta de entrada.</x:t>
        </x:is>
      </x:c>
    </x:row>
    <x:row r="30">
      <x:c r="A30" s="8" t="inlineStr">
        <x:is>
          <x:t xml:space="preserve">Hidráulica/Vedações — casa de mangueiras e cilindros. Consome kit de reparo em volume.</x:t>
        </x:is>
      </x:c>
    </x:row>
    <x:row r="31">
      <x:c r="A31" s="8" t="inlineStr">
        <x:is>
          <x:t xml:space="preserve">Distribuidor &lt;Marca&gt; — já representa marca concorrente. Abordagem de complemento de linha.</x:t>
        </x:is>
      </x:c>
    </x:row>
    <x:row r="32">
      <x:c r="A32" s="8" t="inlineStr">
        <x:is>
          <x:t xml:space="preserve"/>
        </x:is>
      </x:c>
    </x:row>
    <x:row r="33">
      <x:c r="A33" s="9" t="inlineStr">
        <x:is>
          <x:t xml:space="preserve">COMO CHEGAR A 500 EMPRESAS</x:t>
        </x:is>
      </x:c>
    </x:row>
    <x:row r="34">
      <x:c r="A34" s="8" t="inlineStr">
        <x:is>
          <x:t xml:space="preserve">Esta base tem empresas reais e verificáveis. Para escalar sem inventar dado, use os Dados</x:t>
        </x:is>
      </x:c>
    </x:row>
    <x:row r="35">
      <x:c r="A35" s="8" t="inlineStr">
        <x:is>
          <x:t xml:space="preserve">Abertos de CNPJ da Receita Federal (dadosabertos.rfb.gov.br) — atualizado mensalmente,</x:t>
        </x:is>
      </x:c>
    </x:row>
    <x:row r="36">
      <x:c r="A36" s="8" t="inlineStr">
        <x:is>
          <x:t xml:space="preserve">traz CNPJ, razão social, endereço completo, telefone e e-mail de TODAS as empresas ativas.</x:t>
        </x:is>
      </x:c>
    </x:row>
    <x:row r="37">
      <x:c r="A37" s="8" t="inlineStr">
        <x:is>
          <x:t xml:space="preserve">Filtre pelos CNAEs: 4669-9/99, 4674-5/00, 2219-6/00, 4530-7/03, 4744-0/99, 4663-0/00.</x:t>
        </x:is>
      </x:c>
    </x:row>
    <x:row r="38">
      <x:c r="A38" s="8" t="inlineStr">
        <x:is>
          <x:t xml:space="preserve">O script 'extrair_cnpj_vedacoes.py' (entregue junto) faz esse filtro automaticamente.</x:t>
        </x:is>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8" hidden="0" customWidth="1"/>
    <x:col min="3" max="3" width="22" hidden="0" customWidth="1"/>
    <x:col min="4" max="4" width="18" hidden="0" customWidth="1"/>
    <x:col min="5" max="5" width="6" hidden="0" customWidth="1"/>
    <x:col min="6" max="6" width="12" hidden="0" customWidth="1"/>
    <x:col min="7" max="7" width="15" hidden="0" customWidth="1"/>
    <x:col min="8" max="8" width="16" hidden="0" customWidth="1"/>
    <x:col min="9" max="9" width="30" hidden="0" customWidth="1"/>
    <x:col min="10" max="10" width="38" hidden="0" customWidth="1"/>
    <x:col min="11" max="11" width="9" hidden="0" customWidth="1"/>
    <x:col min="12" max="12" width="28" hidden="0" customWidth="1"/>
    <x:col min="13" max="13" width="38" hidden="0" customWidth="1"/>
    <x:col min="14" max="14" width="45" hidden="0" customWidth="1"/>
    <x:col min="15" max="15" width="48" hidden="0" customWidth="1"/>
    <x:col min="16" max="16" width="42" hidden="0" customWidth="1"/>
    <x:col min="17" max="17" width="54" hidden="0" customWidth="1"/>
    <x:col min="18" max="18" width="12" hidden="0" customWidth="1"/>
    <x:col min="19" max="19" width="19" hidden="0" customWidth="1"/>
    <x:col min="20" max="20" width="45" hidden="0" customWidth="1"/>
    <x:col min="21" max="21" width="30" hidden="0" customWidth="1"/>
    <x:col min="22" max="22" width="75" hidden="0" customWidth="1"/>
    <x:col min="23" max="23" width="65" hidden="0" customWidth="1"/>
    <x:col min="24" max="24" width="65" hidden="0" customWidth="1"/>
    <x:col min="25" max="25" width="50" hidden="0" customWidth="1"/>
    <x:col min="26" max="26" width="65" hidden="0" customWidth="1"/>
    <x:col min="27" max="27" width="22" hidden="0" customWidth="1"/>
    <x:col min="28" max="28" width="12" hidden="0" customWidth="1"/>
    <x:col min="29" max="29" width="16" hidden="0" customWidth="1"/>
    <x:col min="30" max="30" width="16" hidden="0" customWidth="1"/>
    <x:col min="31" max="31" width="18" hidden="0" customWidth="1"/>
    <x:col min="32" max="32" width="18" hidden="0" customWidth="1"/>
    <x:col min="33" max="33" width="45" hidden="0" customWidth="1"/>
    <x:col min="34" max="34" width="22" hidden="0" customWidth="1"/>
    <x:col min="35" max="35" width="12" hidden="0" customWidth="1"/>
    <x:col min="36" max="36" width="28" hidden="0" customWidth="1"/>
    <x:col min="37" max="37" width="40" hidden="0" customWidth="1"/>
    <x:col min="38" max="38" width="55" hidden="0" customWidth="1"/>
    <x:col min="39" max="39" width="55" hidden="0" customWidth="1"/>
    <x:col min="40" max="40" width="80" hidden="0" customWidth="1"/>
    <x:col min="41" max="41" width="16" hidden="0" customWidth="1"/>
  </x:cols>
  <x:sheetData>
    <x:row r="1" ht="42" customHeight="1">
      <x:c r="A1" s="40" t="str">
        <x:v>ID</x:v>
      </x:c>
      <x:c r="B1" s="40" t="str">
        <x:v>Empresa</x:v>
      </x:c>
      <x:c r="C1" s="40" t="str">
        <x:v>Segmento</x:v>
      </x:c>
      <x:c r="D1" s="40" t="str">
        <x:v>Cidade</x:v>
      </x:c>
      <x:c r="E1" s="40" t="str">
        <x:v>UF</x:v>
      </x:c>
      <x:c r="F1" s="40" t="str">
        <x:v>Região</x:v>
      </x:c>
      <x:c r="G1" s="40" t="str">
        <x:v>Prioridade</x:v>
      </x:c>
      <x:c r="H1" s="40" t="str">
        <x:v>Status original</x:v>
      </x:c>
      <x:c r="I1" s="40" t="str">
        <x:v>E-mail</x:v>
      </x:c>
      <x:c r="J1" s="40" t="str">
        <x:v>Fonte do E-mail</x:v>
      </x:c>
      <x:c r="K1" s="40" t="str">
        <x:v>Enviar?</x:v>
      </x:c>
      <x:c r="L1" s="40" t="str">
        <x:v>Perfil comercial</x:v>
      </x:c>
      <x:c r="M1" s="40" t="str">
        <x:v>Mercado regional sugerido</x:v>
      </x:c>
      <x:c r="N1" s="40" t="str">
        <x:v>Aplicações mais aderentes</x:v>
      </x:c>
      <x:c r="O1" s="40" t="str">
        <x:v>Produtos Parts Seals sugeridos</x:v>
      </x:c>
      <x:c r="P1" s="40" t="str">
        <x:v>Diferencial a destacar</x:v>
      </x:c>
      <x:c r="Q1" s="40" t="str">
        <x:v>Base da personalização</x:v>
      </x:c>
      <x:c r="R1" s="40" t="str">
        <x:v>Confiança</x:v>
      </x:c>
      <x:c r="S1" s="40" t="str">
        <x:v>Revisão humana obrigatória</x:v>
      </x:c>
      <x:c r="T1" s="40" t="str">
        <x:v>Assunto inicial</x:v>
      </x:c>
      <x:c r="U1" s="40" t="str">
        <x:v>Saudação</x:v>
      </x:c>
      <x:c r="V1" s="40" t="str">
        <x:v>E-mail inicial</x:v>
      </x:c>
      <x:c r="W1" s="40" t="str">
        <x:v>Follow-up 1</x:v>
      </x:c>
      <x:c r="X1" s="40" t="str">
        <x:v>Follow-up 2</x:v>
      </x:c>
      <x:c r="Y1" s="40" t="str">
        <x:v>CTA principal</x:v>
      </x:c>
      <x:c r="Z1" s="40" t="str">
        <x:v>Rodapé LGPD</x:v>
      </x:c>
      <x:c r="AA1" s="40" t="str">
        <x:v>Status campanha</x:v>
      </x:c>
      <x:c r="AB1" s="40" t="str">
        <x:v>Aprovado?</x:v>
      </x:c>
      <x:c r="AC1" s="40" t="str">
        <x:v>Data aprovação</x:v>
      </x:c>
      <x:c r="AD1" s="40" t="str">
        <x:v>Data envio 1</x:v>
      </x:c>
      <x:c r="AE1" s="40" t="str">
        <x:v>Data follow-up 1</x:v>
      </x:c>
      <x:c r="AF1" s="40" t="str">
        <x:v>Data follow-up 2</x:v>
      </x:c>
      <x:c r="AG1" s="40" t="str">
        <x:v>Resposta</x:v>
      </x:c>
      <x:c r="AH1" s="40" t="str">
        <x:v>Classificação resposta</x:v>
      </x:c>
      <x:c r="AI1" s="40" t="str">
        <x:v>Opt-out</x:v>
      </x:c>
      <x:c r="AJ1" s="40" t="str">
        <x:v>Erro/Bounce</x:v>
      </x:c>
      <x:c r="AK1" s="40" t="str">
        <x:v>Observações campanha</x:v>
      </x:c>
      <x:c r="AL1" s="40" t="str">
        <x:v>Fonte regional</x:v>
      </x:c>
      <x:c r="AM1" s="40" t="str">
        <x:v>Fonte específica</x:v>
      </x:c>
      <x:c r="AN1" s="40" t="str">
        <x:v>Prompt de pesquisa futura</x:v>
      </x:c>
      <x:c r="AO1" s="40" t="str">
        <x:v>Versão</x:v>
      </x:c>
    </x:row>
    <x:row r="2" ht="72" customHeight="1">
      <x:c r="A2" s="43" t="n">
        <x:v>1</x:v>
      </x:c>
      <x:c r="B2" s="43" t="str">
        <x:v>C T Neto Cld Vedações</x:v>
      </x:c>
      <x:c r="C2" s="43" t="str">
        <x:v>Fabricante/Vedações</x:v>
      </x:c>
      <x:c r="D2" s="43" t="str">
        <x:v>Serra</x:v>
      </x:c>
      <x:c r="E2" s="43" t="str">
        <x:v>ES</x:v>
      </x:c>
      <x:c r="F2" s="43" t="str">
        <x:v>Sudeste</x:v>
      </x:c>
      <x:c r="G2" s="43" t="str">
        <x:v>Sem dados - qualificar</x:v>
      </x:c>
      <x:c r="H2" s="43" t="str">
        <x:v>Não contatado</x:v>
      </x:c>
      <x:c r="I2" s="43"/>
      <x:c r="J2" s="43" t="str">
        <x:v>Não localizado em fonte pública confiável até 24/07/2026</x:v>
      </x:c>
      <x:c r="K2" s="43" t="str">
        <x:v>Não</x:v>
      </x:c>
      <x:c r="L2" s="43" t="str">
        <x:v>fabricante ou transformador especializado em vedações</x:v>
      </x:c>
      <x:c r="M2" s="43" t="str">
        <x:v>petróleo e gás, mineração, metalurgia, operações portuárias e celulose</x:v>
      </x:c>
      <x:c r="N2" s="43" t="str">
        <x:v>itens fora de padrão, picos de demanda, protótipos, reposições urgentes e lotes que exigem processo ou material específico</x:v>
      </x:c>
      <x:c r="O2" s="43" t="str">
        <x:v>componentes usinados e moldados em PTFE puro ou carregado, PU, NBR, FKM e materiais técnicos, conforme desenho ou amostra</x:v>
      </x:c>
      <x:c r="P2" s="43" t="str">
        <x:v>atuar como apoio produtivo complementar, preservando a relação comercial de vocês com o cliente final</x:v>
      </x:c>
      <x:c r="Q2" s="43" t="str">
        <x:v>Segmento da base: Fabricante/Vedações; localização: Serra/ES; contexto industrial regional usado apenas como hipótese comercial. Sem e-mail público localizado. Nenhuma afirmação sobre clientes ou aplicações específicas da empresa foi feita sem fonte.</x:v>
      </x:c>
      <x:c r="R2" s="43" t="str">
        <x:v>Baixa</x:v>
      </x:c>
      <x:c r="S2" s="43" t="str">
        <x:v>Sim</x:v>
      </x:c>
      <x:c r="T2" s="43" t="str">
        <x:v>Parceria para picos de demanda e peças especiais</x:v>
      </x:c>
      <x:c r="U2" s="43" t="str">
        <x:v>Olá, equipe da C T Neto Cld Vedações,</x:v>
      </x:c>
      <x:c r="V2" s="43" t="str">
        <x:v>Olá, equipe da C T Neto Cld Vedações,
Ao analisar o perfil da C T Neto Cld Vedações em Serra, identifiquei uma possibilidade de parceria para demandas de vedação que não se encaixam bem em linhas padronizadas.
Em Serra/ES, cadeias como petróleo e gás, mineração, metalurgia, operações portuárias e celulose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PTFE puro ou carregado, FKM e PU.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2" s="43" t="str">
        <x:v>Olá, equipe da C T Neto Cld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2" s="43" t="str">
        <x:v>Olá, equipe da C T Neto Cld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 s="43" t="str">
        <x:v>Existe hoje algum item especial, urgente ou de baixa quantidade que esteja ocupando capacidade ou ficando sem atendimento?</x:v>
      </x:c>
      <x:c r="Z2" s="43" t="str">
        <x:v>Este contato foi direcionado a um canal corporativo público por possível aderência entre as atividades das empresas. Para não receber novas mensagens da Parts Seals, responda com REMOVER.</x:v>
      </x:c>
      <x:c r="AA2" s="43" t="str">
        <x:v>Sem e-mail</x:v>
      </x:c>
      <x:c r="AB2" s="43" t="str">
        <x:v>Não</x:v>
      </x:c>
      <x:c r="AC2" s="44"/>
      <x:c r="AD2" s="44"/>
      <x:c r="AE2" s="44"/>
      <x:c r="AF2" s="44"/>
      <x:c r="AG2" s="43"/>
      <x:c r="AH2" s="43"/>
      <x:c r="AI2" s="43" t="str">
        <x:v>Não</x:v>
      </x:c>
      <x:c r="AJ2" s="43"/>
      <x:c r="AK2" s="43"/>
      <x:c r="AL2" s="43" t="str">
        <x:v>https://perfildaindustria.portaldaindustria.com.br/estado/tudo/es | https://www.gov.br/anp/pt-br/centrais-de-conteudo/paineis-dinamicos-da-anp/paineis-dinamicos-sobre-exploracao-e-producao-de-petroleo-e-gas/painel-de-pocos-na-fase-de-producao</x:v>
      </x:c>
      <x:c r="AM2" s="43" t="str">
        <x:v>Não localizado em fonte pública confiável até 24/07/2026</x:v>
      </x:c>
      <x:c r="AN2" s="43" t="str">
        <x:v>Pesquise a empresa C T Neto Cld Vedações, de Serra/ES,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 s="43" t="str">
        <x:v>2026-07-24 v1</x:v>
      </x:c>
    </x:row>
    <x:row r="3" ht="72" customHeight="1">
      <x:c r="A3" s="43" t="n">
        <x:v>2</x:v>
      </x:c>
      <x:c r="B3" s="43" t="str">
        <x:v>HF Vedações</x:v>
      </x:c>
      <x:c r="C3" s="43" t="str">
        <x:v>Vedações</x:v>
      </x:c>
      <x:c r="D3" s="43" t="str">
        <x:v>Serra</x:v>
      </x:c>
      <x:c r="E3" s="43" t="str">
        <x:v>ES</x:v>
      </x:c>
      <x:c r="F3" s="43" t="str">
        <x:v>Sudeste</x:v>
      </x:c>
      <x:c r="G3" s="43" t="str">
        <x:v>A - Alta</x:v>
      </x:c>
      <x:c r="H3" s="43" t="str">
        <x:v>Não contatado</x:v>
      </x:c>
      <x:c r="I3" s="43" t="str">
        <x:v>comercial@hfvedacoes.com.br</x:v>
      </x:c>
      <x:c r="J3" s="43" t="str">
        <x:v>https://hfvedacoes.com.br/</x:v>
      </x:c>
      <x:c r="K3" s="43" t="str">
        <x:v>Sim</x:v>
      </x:c>
      <x:c r="L3" s="43" t="str">
        <x:v>especialista ou revenda de vedações industriais</x:v>
      </x:c>
      <x:c r="M3" s="43" t="str">
        <x:v>petróleo e gás, mineração, metalurgia, operações portuárias e celulose</x:v>
      </x:c>
      <x:c r="N3" s="43" t="str">
        <x:v>gaxetas, raspadores, anéis guia, vedações de haste e pistão, retentores especiais e reposições fora de linha</x:v>
      </x:c>
      <x:c r="O3" s="43" t="str">
        <x:v>peças sob medida em PTFE puro ou carregado, poliuretano, NBR, FKM, nylon e outros materiais técnicos</x:v>
      </x:c>
      <x:c r="P3" s="43" t="str">
        <x:v>complementar o portfólio com itens especiais, pequenas e médias séries, urgências e fabricação por desenho ou amostra</x:v>
      </x:c>
      <x:c r="Q3" s="43" t="str">
        <x:v>Segmento da base: Vedações; localização: Serra/ES; contexto industrial regional usado apenas como hipótese comercial. Domínio do e-mail coincide com a fonte oficial. Nenhuma afirmação sobre clientes ou aplicações específicas da empresa foi feita sem fonte.</x:v>
      </x:c>
      <x:c r="R3" s="43" t="str">
        <x:v>Alta</x:v>
      </x:c>
      <x:c r="S3" s="43" t="str">
        <x:v>Recomendada</x:v>
      </x:c>
      <x:c r="T3" s="43" t="str">
        <x:v>Apoio em vedações sob medida para a HF Vedações</x:v>
      </x:c>
      <x:c r="U3" s="43" t="str">
        <x:v>Olá, equipe da HF Vedações,</x:v>
      </x:c>
      <x:c r="V3" s="43" t="str">
        <x:v>Olá, equipe da HF Vedações,
A Parts Seals está ampliando parcerias com empresas técnicas do setor, e o perfil da HF Vedações chamou nossa atenção pela atuação em vedações.
Em Serra/ES, cadeias como petróleo e gás, mineração, metalurgia, operações portuárias e celulose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puro ou carregado, FKM e PU.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3" s="43" t="str">
        <x:v>Olá, equipe da HF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3" s="43" t="str">
        <x:v>Olá, equipe da HF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3" s="43" t="str">
        <x:v>Vocês recebem consultas de peças especiais que acabam sem atendimento por prazo, material, quantidade ou ausência de desenho?</x:v>
      </x:c>
      <x:c r="Z3" s="43" t="str">
        <x:v>Este contato foi direcionado a um canal corporativo público por possível aderência entre as atividades das empresas. Para não receber novas mensagens da Parts Seals, responda com REMOVER.</x:v>
      </x:c>
      <x:c r="AA3" s="43" t="str">
        <x:v>Aguardando aprovação</x:v>
      </x:c>
      <x:c r="AB3" s="43" t="str">
        <x:v>Não</x:v>
      </x:c>
      <x:c r="AC3" s="44"/>
      <x:c r="AD3" s="44"/>
      <x:c r="AE3" s="44"/>
      <x:c r="AF3" s="44"/>
      <x:c r="AG3" s="43"/>
      <x:c r="AH3" s="43"/>
      <x:c r="AI3" s="43" t="str">
        <x:v>Não</x:v>
      </x:c>
      <x:c r="AJ3" s="43"/>
      <x:c r="AK3" s="43"/>
      <x:c r="AL3" s="43" t="str">
        <x:v>https://perfildaindustria.portaldaindustria.com.br/estado/tudo/es | https://www.gov.br/anp/pt-br/centrais-de-conteudo/paineis-dinamicos-da-anp/paineis-dinamicos-sobre-exploracao-e-producao-de-petroleo-e-gas/painel-de-pocos-na-fase-de-producao</x:v>
      </x:c>
      <x:c r="AM3" s="43" t="str">
        <x:v>https://hfvedacoes.com.br/</x:v>
      </x:c>
      <x:c r="AN3" s="43" t="str">
        <x:v>Pesquise a empresa HF Vedações, de Serra/ES,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3" s="43" t="str">
        <x:v>2026-07-24 v1</x:v>
      </x:c>
    </x:row>
    <x:row r="4" ht="72" customHeight="1">
      <x:c r="A4" s="43" t="n">
        <x:v>3</x:v>
      </x:c>
      <x:c r="B4" s="43" t="str">
        <x:v>Império Vix Mangueiras e Conexões</x:v>
      </x:c>
      <x:c r="C4" s="43" t="str">
        <x:v>Hidráulica/Vedações</x:v>
      </x:c>
      <x:c r="D4" s="43" t="str">
        <x:v>Serra</x:v>
      </x:c>
      <x:c r="E4" s="43" t="str">
        <x:v>ES</x:v>
      </x:c>
      <x:c r="F4" s="43" t="str">
        <x:v>Sudeste</x:v>
      </x:c>
      <x:c r="G4" s="43" t="str">
        <x:v>A - Alta</x:v>
      </x:c>
      <x:c r="H4" s="43" t="str">
        <x:v>Não contatado</x:v>
      </x:c>
      <x:c r="I4" s="43" t="str">
        <x:v>comercial@imperiovix.com.br</x:v>
      </x:c>
      <x:c r="J4" s="43" t="str">
        <x:v>https://www.imperiovix.com.br/</x:v>
      </x:c>
      <x:c r="K4" s="43" t="str">
        <x:v>Sim</x:v>
      </x:c>
      <x:c r="L4" s="43" t="str">
        <x:v>fornecedor de componentes hidráulicos e vedações</x:v>
      </x:c>
      <x:c r="M4" s="43" t="str">
        <x:v>petróleo e gás, mineração, metalurgia, operações portuárias e celulose</x:v>
      </x:c>
      <x:c r="N4" s="43" t="str">
        <x:v>gaxetas de haste e pistão, raspadores, anéis guia, vedações rotativas e kits para cilindros hidráulicos</x:v>
      </x:c>
      <x:c r="O4" s="43" t="str">
        <x:v>vedações em PU, PTFE puro ou carregado, NBR e FKM, dimensionadas conforme pressão, velocidade, fluido e temperatura</x:v>
      </x:c>
      <x:c r="P4" s="43" t="str">
        <x:v>apoiar reformas e montagens com peças não padronizadas, reposições antigas e fabricação rápida por amostra ou desenho</x:v>
      </x:c>
      <x:c r="Q4" s="43" t="str">
        <x:v>Segmento da base: Hidráulica/Vedações; localização: Serra/ES; contexto industrial regional usado apenas como hipótese comercial. Domínio do e-mail coincide com a fonte oficial. Nenhuma afirmação sobre clientes ou aplicações específicas da empresa foi feita sem fonte.</x:v>
      </x:c>
      <x:c r="R4" s="43" t="str">
        <x:v>Alta</x:v>
      </x:c>
      <x:c r="S4" s="43" t="str">
        <x:v>Recomendada</x:v>
      </x:c>
      <x:c r="T4" s="43" t="str">
        <x:v>Possível parceria técnica com a Império Vix Mangueiras e Conexões</x:v>
      </x:c>
      <x:c r="U4" s="43" t="str">
        <x:v>Olá, equipe da Império Vix Mangueiras e Conexões,</x:v>
      </x:c>
      <x:c r="V4" s="43" t="str">
        <x:v>Olá, equipe da Império Vix Mangueiras e Conexões,
Gostaria de apresentar uma possibilidade de apoio complementar à Império Vix Mangueiras e Conexões para peças especiais, urgências e reposições fora de catálogo.
Em Serra/ES, cadeias como petróleo e gás, mineração, metalurgia, operações portuárias e celulose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PTFE puro ou carregado, FKM e PU.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4" s="43" t="str">
        <x:v>Olá, equipe da Império Vix Mangueiras e Conexões,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4" s="43" t="str">
        <x:v>Olá, equipe da Império Vix Mangueiras e Conexões,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4" s="43" t="str">
        <x:v>Há cilindros ou equipamentos para os quais vocês têm dificuldade de localizar a vedação correta ou cumprir o prazo do cliente?</x:v>
      </x:c>
      <x:c r="Z4" s="43" t="str">
        <x:v>Este contato foi direcionado a um canal corporativo público por possível aderência entre as atividades das empresas. Para não receber novas mensagens da Parts Seals, responda com REMOVER.</x:v>
      </x:c>
      <x:c r="AA4" s="43" t="str">
        <x:v>Aguardando aprovação</x:v>
      </x:c>
      <x:c r="AB4" s="43" t="str">
        <x:v>Não</x:v>
      </x:c>
      <x:c r="AC4" s="44"/>
      <x:c r="AD4" s="44"/>
      <x:c r="AE4" s="44"/>
      <x:c r="AF4" s="44"/>
      <x:c r="AG4" s="43"/>
      <x:c r="AH4" s="43"/>
      <x:c r="AI4" s="43" t="str">
        <x:v>Não</x:v>
      </x:c>
      <x:c r="AJ4" s="43"/>
      <x:c r="AK4" s="43"/>
      <x:c r="AL4" s="43" t="str">
        <x:v>https://perfildaindustria.portaldaindustria.com.br/estado/tudo/es | https://www.gov.br/anp/pt-br/centrais-de-conteudo/paineis-dinamicos-da-anp/paineis-dinamicos-sobre-exploracao-e-producao-de-petroleo-e-gas/painel-de-pocos-na-fase-de-producao</x:v>
      </x:c>
      <x:c r="AM4" s="43" t="str">
        <x:v>https://www.imperiovix.com.br/</x:v>
      </x:c>
      <x:c r="AN4" s="43" t="str">
        <x:v>Pesquise a empresa Império Vix Mangueiras e Conexões, de Serra/ES,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4" s="43" t="str">
        <x:v>2026-07-24 v1</x:v>
      </x:c>
    </x:row>
    <x:row r="5" ht="72" customHeight="1">
      <x:c r="A5" s="43" t="n">
        <x:v>4</x:v>
      </x:c>
      <x:c r="B5" s="43" t="str">
        <x:v>JMA Vedações</x:v>
      </x:c>
      <x:c r="C5" s="43" t="str">
        <x:v>Vedações</x:v>
      </x:c>
      <x:c r="D5" s="43" t="str">
        <x:v>Serra</x:v>
      </x:c>
      <x:c r="E5" s="43" t="str">
        <x:v>ES</x:v>
      </x:c>
      <x:c r="F5" s="43" t="str">
        <x:v>Sudeste</x:v>
      </x:c>
      <x:c r="G5" s="43" t="str">
        <x:v>A - Alta</x:v>
      </x:c>
      <x:c r="H5" s="43" t="str">
        <x:v>Não contatado</x:v>
      </x:c>
      <x:c r="I5" s="43" t="str">
        <x:v>comercial@jmavedacoes.com.br</x:v>
      </x:c>
      <x:c r="J5" s="43" t="str">
        <x:v>https://www.portalnacionaldaindustria.com.br/empresas/jma-vedacoes-linhares</x:v>
      </x:c>
      <x:c r="K5" s="43" t="str">
        <x:v>Sim</x:v>
      </x:c>
      <x:c r="L5" s="43" t="str">
        <x:v>especialista ou revenda de vedações industriais</x:v>
      </x:c>
      <x:c r="M5" s="43" t="str">
        <x:v>petróleo e gás, mineração, metalurgia, operações portuárias e celulose</x:v>
      </x:c>
      <x:c r="N5" s="43" t="str">
        <x:v>gaxetas, raspadores, anéis guia, vedações de haste e pistão, retentores especiais e reposições fora de linha</x:v>
      </x:c>
      <x:c r="O5" s="43" t="str">
        <x:v>peças sob medida em PTFE puro ou carregado, poliuretano, NBR, FKM, nylon e outros materiais técnicos</x:v>
      </x:c>
      <x:c r="P5" s="43" t="str">
        <x:v>complementar o portfólio com itens especiais, pequenas e médias séries, urgências e fabricação por desenho ou amostra</x:v>
      </x:c>
      <x:c r="Q5" s="43" t="str">
        <x:v>Segmento da base: Vedações; localização: Serra/ES; contexto industrial regional usado apenas como hipótese comercial. Contato publicado em perfil ou diretório institucional. Nenhuma afirmação sobre clientes ou aplicações específicas da empresa foi feita sem fonte.</x:v>
      </x:c>
      <x:c r="R5" s="43" t="str">
        <x:v>Moderada</x:v>
      </x:c>
      <x:c r="S5" s="43" t="str">
        <x:v>Sim</x:v>
      </x:c>
      <x:c r="T5" s="43" t="str">
        <x:v>Peças especiais para complementar o atendimento da JMA Vedações</x:v>
      </x:c>
      <x:c r="U5" s="43" t="str">
        <x:v>Olá, equipe da JMA Vedações,</x:v>
      </x:c>
      <x:c r="V5" s="43" t="str">
        <x:v>Olá, equipe da JMA Vedações,
Estou entrando em contato porque a atuação da JMA Vedações em vedações tem boa aderência ao tipo de fabricação especial que realizamos na Parts Seals.
Em Serra/ES, cadeias como petróleo e gás, mineração, metalurgia, operações portuárias e celulose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puro ou carregado, FKM e PU.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5" s="43" t="str">
        <x:v>Olá, equipe da JMA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5" s="43" t="str">
        <x:v>Olá, equipe da JMA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5" s="43" t="str">
        <x:v>Vocês recebem consultas de peças especiais que acabam sem atendimento por prazo, material, quantidade ou ausência de desenho?</x:v>
      </x:c>
      <x:c r="Z5" s="43" t="str">
        <x:v>Este contato foi direcionado a um canal corporativo público por possível aderência entre as atividades das empresas. Para não receber novas mensagens da Parts Seals, responda com REMOVER.</x:v>
      </x:c>
      <x:c r="AA5" s="43" t="str">
        <x:v>Aguardando aprovação</x:v>
      </x:c>
      <x:c r="AB5" s="43" t="str">
        <x:v>Não</x:v>
      </x:c>
      <x:c r="AC5" s="44"/>
      <x:c r="AD5" s="44"/>
      <x:c r="AE5" s="44"/>
      <x:c r="AF5" s="44"/>
      <x:c r="AG5" s="43"/>
      <x:c r="AH5" s="43"/>
      <x:c r="AI5" s="43" t="str">
        <x:v>Não</x:v>
      </x:c>
      <x:c r="AJ5" s="43"/>
      <x:c r="AK5" s="43"/>
      <x:c r="AL5" s="43" t="str">
        <x:v>https://perfildaindustria.portaldaindustria.com.br/estado/tudo/es | https://www.gov.br/anp/pt-br/centrais-de-conteudo/paineis-dinamicos-da-anp/paineis-dinamicos-sobre-exploracao-e-producao-de-petroleo-e-gas/painel-de-pocos-na-fase-de-producao</x:v>
      </x:c>
      <x:c r="AM5" s="43" t="str">
        <x:v>https://www.portalnacionaldaindustria.com.br/empresas/jma-vedacoes-linhares</x:v>
      </x:c>
      <x:c r="AN5" s="43" t="str">
        <x:v>Pesquise a empresa JMA Vedações, de Serra/ES,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5" s="43" t="str">
        <x:v>2026-07-24 v1</x:v>
      </x:c>
    </x:row>
    <x:row r="6" ht="72" customHeight="1">
      <x:c r="A6" s="43" t="n">
        <x:v>5</x:v>
      </x:c>
      <x:c r="B6" s="43" t="str">
        <x:v>Master Fluido Componentes e Vedações de Precisão</x:v>
      </x:c>
      <x:c r="C6" s="43" t="str">
        <x:v>Vedações</x:v>
      </x:c>
      <x:c r="D6" s="43" t="str">
        <x:v>Serra</x:v>
      </x:c>
      <x:c r="E6" s="43" t="str">
        <x:v>ES</x:v>
      </x:c>
      <x:c r="F6" s="43" t="str">
        <x:v>Sudeste</x:v>
      </x:c>
      <x:c r="G6" s="43" t="str">
        <x:v>A - Alta</x:v>
      </x:c>
      <x:c r="H6" s="43" t="str">
        <x:v>Não contatado</x:v>
      </x:c>
      <x:c r="I6" s="43" t="str">
        <x:v>vendas@masterfluido.com.br</x:v>
      </x:c>
      <x:c r="J6" s="43" t="str">
        <x:v>https://www.facebook.com/masterfluidocomponentescontagem/</x:v>
      </x:c>
      <x:c r="K6" s="43" t="str">
        <x:v>Sim</x:v>
      </x:c>
      <x:c r="L6" s="43" t="str">
        <x:v>especialista ou revenda de vedações industriais</x:v>
      </x:c>
      <x:c r="M6" s="43" t="str">
        <x:v>petróleo e gás, mineração, metalurgia, operações portuárias e celulose</x:v>
      </x:c>
      <x:c r="N6" s="43" t="str">
        <x:v>gaxetas, raspadores, anéis guia, vedações de haste e pistão, retentores especiais e reposições fora de linha</x:v>
      </x:c>
      <x:c r="O6" s="43" t="str">
        <x:v>peças sob medida em PTFE puro ou carregado, poliuretano, NBR, FKM, nylon e outros materiais técnicos</x:v>
      </x:c>
      <x:c r="P6" s="43" t="str">
        <x:v>complementar o portfólio com itens especiais, pequenas e médias séries, urgências e fabricação por desenho ou amostra</x:v>
      </x:c>
      <x:c r="Q6" s="43" t="str">
        <x:v>Segmento da base: Vedações; localização: Serra/ES; contexto industrial regional usado apenas como hipótese comercial. Contato publicado em perfil ou diretório institucional. Nenhuma afirmação sobre clientes ou aplicações específicas da empresa foi feita sem fonte.</x:v>
      </x:c>
      <x:c r="R6" s="43" t="str">
        <x:v>Moderada</x:v>
      </x:c>
      <x:c r="S6" s="43" t="str">
        <x:v>Sim</x:v>
      </x:c>
      <x:c r="T6" s="43" t="str">
        <x:v>Possível parceria técnica — Master Fluido Componentes e Vedações de Precisão e Parts Seals</x:v>
      </x:c>
      <x:c r="U6" s="43" t="str">
        <x:v>Olá, equipe da Master Fluido Componentes e Vedações de Precisão,</x:v>
      </x:c>
      <x:c r="V6" s="43" t="str">
        <x:v>Olá, equipe da Master Fluido Componentes e Vedações de Precisão,
Ao analisar o perfil da Master Fluido Componentes e Vedações de Precisão em Serra, identifiquei uma possibilidade de parceria para demandas de vedação que não se encaixam bem em linhas padronizadas.
Em Serra/ES, cadeias como petróleo e gás, mineração, metalurgia, operações portuárias e celulose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puro ou carregado, FKM e PU.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6" s="43" t="str">
        <x:v>Olá, equipe da Master Fluido Componentes e Vedações de Precisão,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6" s="43" t="str">
        <x:v>Olá, equipe da Master Fluido Componentes e Vedações de Precisão,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6" s="43" t="str">
        <x:v>Vocês recebem consultas de peças especiais que acabam sem atendimento por prazo, material, quantidade ou ausência de desenho?</x:v>
      </x:c>
      <x:c r="Z6" s="43" t="str">
        <x:v>Este contato foi direcionado a um canal corporativo público por possível aderência entre as atividades das empresas. Para não receber novas mensagens da Parts Seals, responda com REMOVER.</x:v>
      </x:c>
      <x:c r="AA6" s="43" t="str">
        <x:v>Aguardando aprovação</x:v>
      </x:c>
      <x:c r="AB6" s="43" t="str">
        <x:v>Não</x:v>
      </x:c>
      <x:c r="AC6" s="44"/>
      <x:c r="AD6" s="44"/>
      <x:c r="AE6" s="44"/>
      <x:c r="AF6" s="44"/>
      <x:c r="AG6" s="43"/>
      <x:c r="AH6" s="43"/>
      <x:c r="AI6" s="43" t="str">
        <x:v>Não</x:v>
      </x:c>
      <x:c r="AJ6" s="43"/>
      <x:c r="AK6" s="43"/>
      <x:c r="AL6" s="43" t="str">
        <x:v>https://perfildaindustria.portaldaindustria.com.br/estado/tudo/es | https://www.gov.br/anp/pt-br/centrais-de-conteudo/paineis-dinamicos-da-anp/paineis-dinamicos-sobre-exploracao-e-producao-de-petroleo-e-gas/painel-de-pocos-na-fase-de-producao</x:v>
      </x:c>
      <x:c r="AM6" s="43" t="str">
        <x:v>https://www.facebook.com/masterfluidocomponentescontagem/</x:v>
      </x:c>
      <x:c r="AN6" s="43" t="str">
        <x:v>Pesquise a empresa Master Fluido Componentes e Vedações de Precisão, de Serra/ES,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6" s="43" t="str">
        <x:v>2026-07-24 v1</x:v>
      </x:c>
    </x:row>
    <x:row r="7" ht="72" customHeight="1">
      <x:c r="A7" s="43" t="n">
        <x:v>6</x:v>
      </x:c>
      <x:c r="B7" s="43" t="str">
        <x:v>Seal Técnica</x:v>
      </x:c>
      <x:c r="C7" s="43" t="str">
        <x:v>Vedações</x:v>
      </x:c>
      <x:c r="D7" s="43" t="str">
        <x:v>Serra</x:v>
      </x:c>
      <x:c r="E7" s="43" t="str">
        <x:v>ES</x:v>
      </x:c>
      <x:c r="F7" s="43" t="str">
        <x:v>Sudeste</x:v>
      </x:c>
      <x:c r="G7" s="43" t="str">
        <x:v>A - Alta</x:v>
      </x:c>
      <x:c r="H7" s="43" t="str">
        <x:v>Não contatado</x:v>
      </x:c>
      <x:c r="I7" s="43"/>
      <x:c r="J7" s="43" t="str">
        <x:v>Não localizado em fonte pública confiável até 24/07/2026</x:v>
      </x:c>
      <x:c r="K7" s="43" t="str">
        <x:v>Não</x:v>
      </x:c>
      <x:c r="L7" s="43" t="str">
        <x:v>especialista ou revenda de vedações industriais</x:v>
      </x:c>
      <x:c r="M7" s="43" t="str">
        <x:v>petróleo e gás, mineração, metalurgia, operações portuárias e celulose</x:v>
      </x:c>
      <x:c r="N7" s="43" t="str">
        <x:v>gaxetas, raspadores, anéis guia, vedações de haste e pistão, retentores especiais e reposições fora de linha</x:v>
      </x:c>
      <x:c r="O7" s="43" t="str">
        <x:v>peças sob medida em PTFE puro ou carregado, poliuretano, NBR, FKM, nylon e outros materiais técnicos</x:v>
      </x:c>
      <x:c r="P7" s="43" t="str">
        <x:v>complementar o portfólio com itens especiais, pequenas e médias séries, urgências e fabricação por desenho ou amostra</x:v>
      </x:c>
      <x:c r="Q7" s="43" t="str">
        <x:v>Segmento da base: Vedações; localização: Serra/ES; contexto industrial regional usado apenas como hipótese comercial. Sem e-mail público localizado. Nenhuma afirmação sobre clientes ou aplicações específicas da empresa foi feita sem fonte.</x:v>
      </x:c>
      <x:c r="R7" s="43" t="str">
        <x:v>Baixa</x:v>
      </x:c>
      <x:c r="S7" s="43" t="str">
        <x:v>Sim</x:v>
      </x:c>
      <x:c r="T7" s="43" t="str">
        <x:v>Apoio em vedações sob medida para a Seal Técnica</x:v>
      </x:c>
      <x:c r="U7" s="43" t="str">
        <x:v>Olá, equipe da Seal Técnica,</x:v>
      </x:c>
      <x:c r="V7" s="43" t="str">
        <x:v>Olá, equipe da Seal Técnica,
A Parts Seals está ampliando parcerias com empresas técnicas do setor, e o perfil da Seal Técnica chamou nossa atenção pela atuação em vedações.
Em Serra/ES, cadeias como petróleo e gás, mineração, metalurgia, operações portuárias e celulose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puro ou carregado, FKM e PU.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7" s="43" t="str">
        <x:v>Olá, equipe da Seal Técnica,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7" s="43" t="str">
        <x:v>Olá, equipe da Seal Técnica,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7" s="43" t="str">
        <x:v>Vocês recebem consultas de peças especiais que acabam sem atendimento por prazo, material, quantidade ou ausência de desenho?</x:v>
      </x:c>
      <x:c r="Z7" s="43" t="str">
        <x:v>Este contato foi direcionado a um canal corporativo público por possível aderência entre as atividades das empresas. Para não receber novas mensagens da Parts Seals, responda com REMOVER.</x:v>
      </x:c>
      <x:c r="AA7" s="43" t="str">
        <x:v>Sem e-mail</x:v>
      </x:c>
      <x:c r="AB7" s="43" t="str">
        <x:v>Não</x:v>
      </x:c>
      <x:c r="AC7" s="44"/>
      <x:c r="AD7" s="44"/>
      <x:c r="AE7" s="44"/>
      <x:c r="AF7" s="44"/>
      <x:c r="AG7" s="43"/>
      <x:c r="AH7" s="43"/>
      <x:c r="AI7" s="43" t="str">
        <x:v>Não</x:v>
      </x:c>
      <x:c r="AJ7" s="43"/>
      <x:c r="AK7" s="43"/>
      <x:c r="AL7" s="43" t="str">
        <x:v>https://perfildaindustria.portaldaindustria.com.br/estado/tudo/es | https://www.gov.br/anp/pt-br/centrais-de-conteudo/paineis-dinamicos-da-anp/paineis-dinamicos-sobre-exploracao-e-producao-de-petroleo-e-gas/painel-de-pocos-na-fase-de-producao</x:v>
      </x:c>
      <x:c r="AM7" s="43" t="str">
        <x:v>Não localizado em fonte pública confiável até 24/07/2026</x:v>
      </x:c>
      <x:c r="AN7" s="43" t="str">
        <x:v>Pesquise a empresa Seal Técnica, de Serra/ES,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7" s="43" t="str">
        <x:v>2026-07-24 v1</x:v>
      </x:c>
    </x:row>
    <x:row r="8" ht="72" customHeight="1">
      <x:c r="A8" s="43" t="n">
        <x:v>7</x:v>
      </x:c>
      <x:c r="B8" s="43" t="str">
        <x:v>Só Kits</x:v>
      </x:c>
      <x:c r="C8" s="43" t="str">
        <x:v>Vedações/Kits</x:v>
      </x:c>
      <x:c r="D8" s="43" t="str">
        <x:v>Serra</x:v>
      </x:c>
      <x:c r="E8" s="43" t="str">
        <x:v>ES</x:v>
      </x:c>
      <x:c r="F8" s="43" t="str">
        <x:v>Sudeste</x:v>
      </x:c>
      <x:c r="G8" s="43" t="str">
        <x:v>A - Alta</x:v>
      </x:c>
      <x:c r="H8" s="43" t="str">
        <x:v>Não contatado</x:v>
      </x:c>
      <x:c r="I8" s="43"/>
      <x:c r="J8" s="43" t="str">
        <x:v>Não localizado em fonte pública confiável até 24/07/2026</x:v>
      </x:c>
      <x:c r="K8" s="43" t="str">
        <x:v>Não</x:v>
      </x:c>
      <x:c r="L8" s="43" t="str">
        <x:v>especialista em kits e vedações de reposição</x:v>
      </x:c>
      <x:c r="M8" s="43" t="str">
        <x:v>petróleo e gás, mineração, metalurgia, operações portuárias e celulose</x:v>
      </x:c>
      <x:c r="N8" s="43" t="str">
        <x:v>kits de cilindros, gaxetas, raspadores, anéis guia e peças especiais para manutenção</x:v>
      </x:c>
      <x:c r="O8" s="43" t="str">
        <x:v>componentes em PU, PTFE, NBR e FKM fabricados em medidas especiais</x:v>
      </x:c>
      <x:c r="P8" s="43" t="str">
        <x:v>completar kits quando um componente não está disponível separadamente ou saiu de linha</x:v>
      </x:c>
      <x:c r="Q8" s="43" t="str">
        <x:v>Segmento da base: Vedações/Kits; localização: Serra/ES; contexto industrial regional usado apenas como hipótese comercial. Sem e-mail público localizado. Nenhuma afirmação sobre clientes ou aplicações específicas da empresa foi feita sem fonte.</x:v>
      </x:c>
      <x:c r="R8" s="43" t="str">
        <x:v>Baixa</x:v>
      </x:c>
      <x:c r="S8" s="43" t="str">
        <x:v>Sim</x:v>
      </x:c>
      <x:c r="T8" s="43" t="str">
        <x:v>Demandas fora de catálogo na Só Kits</x:v>
      </x:c>
      <x:c r="U8" s="43" t="str">
        <x:v>Olá, equipe da Só Kits,</x:v>
      </x:c>
      <x:c r="V8" s="43" t="str">
        <x:v>Olá, equipe da Só Kits,
Gostaria de apresentar uma possibilidade de apoio complementar à Só Kits para peças especiais, urgências e reposições fora de catálogo.
Em Serra/ES, cadeias como petróleo e gás, mineração, metalurgia, operações portuárias e celulose costumam gerar solicitações de vedações especiais, principalmente quando há pressão, desgaste, ataque químico, temperatura ou dificuldade de reposição. Para o perfil de especialista em kits e vedações de reposição, vemos maior aderência em kits de cilindros, gaxetas, raspadores, anéis guia e peças especiais para manutenção.
A Parts Seals pode apoiar com componentes em PU, PTFE, NBR e FKM fabricados em medidas especiais. A seleção final do material é validada conforme a aplicação; para as demandas mais comuns da região, vale avaliar especialmente PTFE puro ou carregado, FKM e PU. Nosso objetivo é completar kits quando um componente não está disponível separadamente ou saiu de linha.
Existem kits que vocês deixam de montar porque uma das vedações não é encontrada separadamente?
Posso encaminhar uma apresentação curta ou avaliar um item real, sem compromisso?
Atenciosamente,
{{NOME_REMETENTE}}
Parts Seals Vedações Industriais
{{TELEFONE_REMETENTE}} | {{SITE_REMETENTE}}</x:v>
      </x:c>
      <x:c r="W8" s="43" t="str">
        <x:v>Olá, equipe da Só Kits,
Retomando meu contato: pelo perfil de vedações/kits de vocês, acredito que podemos apoiar principalmente em kits de cilindros, gaxetas, raspadores, anéis guia e peças especiais para manutenção.
Se tiverem uma medida, desenho ou foto de um item difícil de localizar, podemos fazer uma análise inicial e indicar o material mais adequado. Há algum caso em aberto que possamos avaliar?
Atenciosamente,
{{NOME_REMETENTE}}
Parts Seals Vedações Industriais</x:v>
      </x:c>
      <x:c r="X8" s="43" t="str">
        <x:v>Olá, equipe da Só Kits,
Encerrando meu contato para não insistir. Caso surja alguma demanda de kits de cilindros, gaxetas, raspadores, anéis guia e peças especiais para manutenção,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8" s="43" t="str">
        <x:v>Existem kits que vocês deixam de montar porque uma das vedações não é encontrada separadamente?</x:v>
      </x:c>
      <x:c r="Z8" s="43" t="str">
        <x:v>Este contato foi direcionado a um canal corporativo público por possível aderência entre as atividades das empresas. Para não receber novas mensagens da Parts Seals, responda com REMOVER.</x:v>
      </x:c>
      <x:c r="AA8" s="43" t="str">
        <x:v>Sem e-mail</x:v>
      </x:c>
      <x:c r="AB8" s="43" t="str">
        <x:v>Não</x:v>
      </x:c>
      <x:c r="AC8" s="44"/>
      <x:c r="AD8" s="44"/>
      <x:c r="AE8" s="44"/>
      <x:c r="AF8" s="44"/>
      <x:c r="AG8" s="43"/>
      <x:c r="AH8" s="43"/>
      <x:c r="AI8" s="43" t="str">
        <x:v>Não</x:v>
      </x:c>
      <x:c r="AJ8" s="43"/>
      <x:c r="AK8" s="43"/>
      <x:c r="AL8" s="43" t="str">
        <x:v>https://perfildaindustria.portaldaindustria.com.br/estado/tudo/es | https://www.gov.br/anp/pt-br/centrais-de-conteudo/paineis-dinamicos-da-anp/paineis-dinamicos-sobre-exploracao-e-producao-de-petroleo-e-gas/painel-de-pocos-na-fase-de-producao</x:v>
      </x:c>
      <x:c r="AM8" s="43" t="str">
        <x:v>Não localizado em fonte pública confiável até 24/07/2026</x:v>
      </x:c>
      <x:c r="AN8" s="43" t="str">
        <x:v>Pesquise a empresa Só Kits, de Serra/ES,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8" s="43" t="str">
        <x:v>2026-07-24 v1</x:v>
      </x:c>
    </x:row>
    <x:row r="9" ht="72" customHeight="1">
      <x:c r="A9" s="43" t="n">
        <x:v>8</x:v>
      </x:c>
      <x:c r="B9" s="43" t="str">
        <x:v>Vedaflex Vedações Industriais</x:v>
      </x:c>
      <x:c r="C9" s="43" t="str">
        <x:v>Fabricante/Vedações</x:v>
      </x:c>
      <x:c r="D9" s="43" t="str">
        <x:v>Serra</x:v>
      </x:c>
      <x:c r="E9" s="43" t="str">
        <x:v>ES</x:v>
      </x:c>
      <x:c r="F9" s="43" t="str">
        <x:v>Sudeste</x:v>
      </x:c>
      <x:c r="G9" s="43" t="str">
        <x:v>B - Média</x:v>
      </x:c>
      <x:c r="H9" s="43" t="str">
        <x:v>Não contatado</x:v>
      </x:c>
      <x:c r="I9" s="43"/>
      <x:c r="J9" s="43" t="str">
        <x:v>Não localizado em fonte pública confiável até 24/07/2026</x:v>
      </x:c>
      <x:c r="K9" s="43" t="str">
        <x:v>Não</x:v>
      </x:c>
      <x:c r="L9" s="43" t="str">
        <x:v>fabricante ou transformador especializado em vedações</x:v>
      </x:c>
      <x:c r="M9" s="43" t="str">
        <x:v>petróleo e gás, mineração, metalurgia, operações portuárias e celulose</x:v>
      </x:c>
      <x:c r="N9" s="43" t="str">
        <x:v>itens fora de padrão, picos de demanda, protótipos, reposições urgentes e lotes que exigem processo ou material específico</x:v>
      </x:c>
      <x:c r="O9" s="43" t="str">
        <x:v>componentes usinados e moldados em PTFE puro ou carregado, PU, NBR, FKM e materiais técnicos, conforme desenho ou amostra</x:v>
      </x:c>
      <x:c r="P9" s="43" t="str">
        <x:v>atuar como apoio produtivo complementar, preservando a relação comercial de vocês com o cliente final</x:v>
      </x:c>
      <x:c r="Q9" s="43" t="str">
        <x:v>Segmento da base: Fabricante/Vedações; localização: Serra/ES; contexto industrial regional usado apenas como hipótese comercial. Sem e-mail público localizado. Nenhuma afirmação sobre clientes ou aplicações específicas da empresa foi feita sem fonte.</x:v>
      </x:c>
      <x:c r="R9" s="43" t="str">
        <x:v>Baixa</x:v>
      </x:c>
      <x:c r="S9" s="43" t="str">
        <x:v>Sim</x:v>
      </x:c>
      <x:c r="T9" s="43" t="str">
        <x:v>Apoio produtivo para itens especiais — Vedaflex Vedações Industriais</x:v>
      </x:c>
      <x:c r="U9" s="43" t="str">
        <x:v>Olá, equipe da Vedaflex Vedações Industriais,</x:v>
      </x:c>
      <x:c r="V9" s="43" t="str">
        <x:v>Olá, equipe da Vedaflex Vedações Industriais,
Estou entrando em contato porque a atuação da Vedaflex Vedações Industriais em fabricante/vedações tem boa aderência ao tipo de fabricação especial que realizamos na Parts Seals.
Em Serra/ES, cadeias como petróleo e gás, mineração, metalurgia, operações portuárias e celulose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PTFE puro ou carregado, FKM e PU.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9" s="43" t="str">
        <x:v>Olá, equipe da Vedaflex Vedações Industriais,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9" s="43" t="str">
        <x:v>Olá, equipe da Vedaflex Vedações Industriais,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9" s="43" t="str">
        <x:v>Existe hoje algum item especial, urgente ou de baixa quantidade que esteja ocupando capacidade ou ficando sem atendimento?</x:v>
      </x:c>
      <x:c r="Z9" s="43" t="str">
        <x:v>Este contato foi direcionado a um canal corporativo público por possível aderência entre as atividades das empresas. Para não receber novas mensagens da Parts Seals, responda com REMOVER.</x:v>
      </x:c>
      <x:c r="AA9" s="43" t="str">
        <x:v>Sem e-mail</x:v>
      </x:c>
      <x:c r="AB9" s="43" t="str">
        <x:v>Não</x:v>
      </x:c>
      <x:c r="AC9" s="44"/>
      <x:c r="AD9" s="44"/>
      <x:c r="AE9" s="44"/>
      <x:c r="AF9" s="44"/>
      <x:c r="AG9" s="43"/>
      <x:c r="AH9" s="43"/>
      <x:c r="AI9" s="43" t="str">
        <x:v>Não</x:v>
      </x:c>
      <x:c r="AJ9" s="43"/>
      <x:c r="AK9" s="43"/>
      <x:c r="AL9" s="43" t="str">
        <x:v>https://perfildaindustria.portaldaindustria.com.br/estado/tudo/es | https://www.gov.br/anp/pt-br/centrais-de-conteudo/paineis-dinamicos-da-anp/paineis-dinamicos-sobre-exploracao-e-producao-de-petroleo-e-gas/painel-de-pocos-na-fase-de-producao</x:v>
      </x:c>
      <x:c r="AM9" s="43" t="str">
        <x:v>Não localizado em fonte pública confiável até 24/07/2026</x:v>
      </x:c>
      <x:c r="AN9" s="43" t="str">
        <x:v>Pesquise a empresa Vedaflex Vedações Industriais, de Serra/ES,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9" s="43" t="str">
        <x:v>2026-07-24 v1</x:v>
      </x:c>
    </x:row>
    <x:row r="10" ht="72" customHeight="1">
      <x:c r="A10" s="43" t="n">
        <x:v>9</x:v>
      </x:c>
      <x:c r="B10" s="43" t="str">
        <x:v>BH Juntas Comércio</x:v>
      </x:c>
      <x:c r="C10" s="43" t="str">
        <x:v>Juntas/Vedações</x:v>
      </x:c>
      <x:c r="D10" s="43" t="str">
        <x:v>Belo Horizonte</x:v>
      </x:c>
      <x:c r="E10" s="43" t="str">
        <x:v>MG</x:v>
      </x:c>
      <x:c r="F10" s="43" t="str">
        <x:v>Sudeste</x:v>
      </x:c>
      <x:c r="G10" s="43" t="str">
        <x:v>B - Média</x:v>
      </x:c>
      <x:c r="H10" s="43" t="str">
        <x:v>Não contatado</x:v>
      </x:c>
      <x:c r="I10" s="43" t="str">
        <x:v>contato@bhjuntas.com.br</x:v>
      </x:c>
      <x:c r="J10" s="43" t="str">
        <x:v>https://bhjuntas.com.br/fale-conosco/</x:v>
      </x:c>
      <x:c r="K10" s="43" t="str">
        <x:v>Sim</x:v>
      </x:c>
      <x:c r="L10" s="43" t="str">
        <x:v>fornecedor de juntas e vedações técnicas</x:v>
      </x:c>
      <x:c r="M10" s="43" t="str">
        <x:v>mineração, metalurgia, cimento, alimentos e manutenção industrial</x:v>
      </x:c>
      <x:c r="N10" s="43" t="str">
        <x:v>juntas planas, anéis, sedes, guias e componentes sujeitos a fluidos, temperatura e ataque químico</x:v>
      </x:c>
      <x:c r="O10" s="43" t="str">
        <x:v>juntas e componentes em PTFE puro ou carregado, NBR, FKM e materiais técnicos, conforme desenho</x:v>
      </x:c>
      <x:c r="P10" s="43" t="str">
        <x:v>atender geometrias especiais, pequenas séries e aplicações em que a seleção correta do material é decisiva</x:v>
      </x:c>
      <x:c r="Q10" s="43" t="str">
        <x:v>Segmento da base: Juntas/Vedações; localização: Belo Horizonte/MG; contexto industrial regional usado apenas como hipótese comercial. Domínio do e-mail coincide com a fonte oficial. Nenhuma afirmação sobre clientes ou aplicações específicas da empresa foi feita sem fonte.</x:v>
      </x:c>
      <x:c r="R10" s="43" t="str">
        <x:v>Alta</x:v>
      </x:c>
      <x:c r="S10" s="43" t="str">
        <x:v>Recomendada</x:v>
      </x:c>
      <x:c r="T10" s="43" t="str">
        <x:v>Possível parceria técnica — BH Juntas Comércio e Parts Seals</x:v>
      </x:c>
      <x:c r="U10" s="43" t="str">
        <x:v>Olá, equipe da BH Juntas Comércio,</x:v>
      </x:c>
      <x:c r="V10" s="43" t="str">
        <x:v>Olá, equipe da BH Juntas Comércio,
Ao analisar o perfil da BH Juntas Comércio em Belo Horizonte, identifiquei uma possibilidade de parceria para demandas de vedação que não se encaixam bem em linhas padronizadas.
Em Belo Horizonte/MG, cadeias como mineração, metalurgia, cimento, alimentos e manutenção industrial costumam gerar solicitações de vedações especiais, principalmente quando há pressão, desgaste, ataque químico, temperatura ou dificuldade de reposição. Para o perfil de fornecedor de juntas e vedações técnicas, vemos maior aderência em juntas planas, anéis, sedes, guias e componentes sujeitos a fluidos, temperatura e ataque químico.
A Parts Seals pode apoiar com juntas e componentes em PTFE puro ou carregado, NBR, FKM e materiais técnicos, conforme desenho. A seleção final do material é validada conforme a aplicação; para as demandas mais comuns da região, vale avaliar especialmente PU, PTFE carregado, NBR e FKM. Nosso objetivo é atender geometrias especiais, pequenas séries e aplicações em que a seleção correta do material é decisiva.
Há alguma junta ou componente especial que seus clientes pedem e que hoje exige terceirização ou prazo elevado?
Posso encaminhar uma apresentação curta ou avaliar um item real, sem compromisso?
Atenciosamente,
{{NOME_REMETENTE}}
Parts Seals Vedações Industriais
{{TELEFONE_REMETENTE}} | {{SITE_REMETENTE}}</x:v>
      </x:c>
      <x:c r="W10" s="43" t="str">
        <x:v>Olá, equipe da BH Juntas Comércio,
Retomando meu contato: pelo perfil de juntas/vedações de vocês, acredito que podemos apoiar principalmente em juntas planas, anéis, sedes, guias e componentes sujeitos a fluidos, temperatura e ataque químico.
Se tiverem uma medida, desenho ou foto de um item difícil de localizar, podemos fazer uma análise inicial e indicar o material mais adequado. Há algum caso em aberto que possamos avaliar?
Atenciosamente,
{{NOME_REMETENTE}}
Parts Seals Vedações Industriais</x:v>
      </x:c>
      <x:c r="X10" s="43" t="str">
        <x:v>Olá, equipe da BH Juntas Comércio,
Encerrando meu contato para não insistir. Caso surja alguma demanda de juntas planas, anéis, sedes, guias e componentes sujeitos a fluidos, temperatura e ataque químico,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0" s="43" t="str">
        <x:v>Há alguma junta ou componente especial que seus clientes pedem e que hoje exige terceirização ou prazo elevado?</x:v>
      </x:c>
      <x:c r="Z10" s="43" t="str">
        <x:v>Este contato foi direcionado a um canal corporativo público por possível aderência entre as atividades das empresas. Para não receber novas mensagens da Parts Seals, responda com REMOVER.</x:v>
      </x:c>
      <x:c r="AA10" s="43" t="str">
        <x:v>Aguardando aprovação</x:v>
      </x:c>
      <x:c r="AB10" s="43" t="str">
        <x:v>Não</x:v>
      </x:c>
      <x:c r="AC10" s="44"/>
      <x:c r="AD10" s="44"/>
      <x:c r="AE10" s="44"/>
      <x:c r="AF10" s="44"/>
      <x:c r="AG10" s="43"/>
      <x:c r="AH10" s="43"/>
      <x:c r="AI10" s="43" t="str">
        <x:v>Não</x:v>
      </x:c>
      <x:c r="AJ10" s="43"/>
      <x:c r="AK10" s="43"/>
      <x:c r="AL10" s="43" t="str">
        <x:v>https://perfildaindustria.portaldaindustria.com.br/estado/tudo/mg | https://ibram.org.br/</x:v>
      </x:c>
      <x:c r="AM10" s="43" t="str">
        <x:v>https://bhjuntas.com.br/fale-conosco/</x:v>
      </x:c>
      <x:c r="AN10" s="43" t="str">
        <x:v>Pesquise a empresa BH Juntas Comércio, de Belo Horizonte/MG,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0" s="43" t="str">
        <x:v>2026-07-24 v1</x:v>
      </x:c>
    </x:row>
    <x:row r="11" ht="72" customHeight="1">
      <x:c r="A11" s="43" t="n">
        <x:v>10</x:v>
      </x:c>
      <x:c r="B11" s="43" t="str">
        <x:v>BH Vedações</x:v>
      </x:c>
      <x:c r="C11" s="43" t="str">
        <x:v>Vedações</x:v>
      </x:c>
      <x:c r="D11" s="43" t="str">
        <x:v>Belo Horizonte</x:v>
      </x:c>
      <x:c r="E11" s="43" t="str">
        <x:v>MG</x:v>
      </x:c>
      <x:c r="F11" s="43" t="str">
        <x:v>Sudeste</x:v>
      </x:c>
      <x:c r="G11" s="43" t="str">
        <x:v>A - Alta</x:v>
      </x:c>
      <x:c r="H11" s="43" t="str">
        <x:v>Não contatado</x:v>
      </x:c>
      <x:c r="I11" s="43"/>
      <x:c r="J11" s="43" t="str">
        <x:v>Não localizado em fonte pública confiável até 24/07/2026</x:v>
      </x:c>
      <x:c r="K11" s="43" t="str">
        <x:v>Não</x:v>
      </x:c>
      <x:c r="L11" s="43" t="str">
        <x:v>especialista ou revenda de vedações industriais</x:v>
      </x:c>
      <x:c r="M11" s="43" t="str">
        <x:v>mineração, metalurgia, cimento, alimentos e manutenção industrial</x:v>
      </x:c>
      <x:c r="N11" s="43" t="str">
        <x:v>gaxetas, raspadores, anéis guia, vedações de haste e pistão, retentores especiais e reposições fora de linha</x:v>
      </x:c>
      <x:c r="O11" s="43" t="str">
        <x:v>peças sob medida em PTFE puro ou carregado, poliuretano, NBR, FKM, nylon e outros materiais técnicos</x:v>
      </x:c>
      <x:c r="P11" s="43" t="str">
        <x:v>complementar o portfólio com itens especiais, pequenas e médias séries, urgências e fabricação por desenho ou amostra</x:v>
      </x:c>
      <x:c r="Q11" s="43" t="str">
        <x:v>Segmento da base: Vedações; localização: Belo Horizonte/MG; contexto industrial regional usado apenas como hipótese comercial. Sem e-mail público localizado. Nenhuma afirmação sobre clientes ou aplicações específicas da empresa foi feita sem fonte.</x:v>
      </x:c>
      <x:c r="R11" s="43" t="str">
        <x:v>Baixa</x:v>
      </x:c>
      <x:c r="S11" s="43" t="str">
        <x:v>Sim</x:v>
      </x:c>
      <x:c r="T11" s="43" t="str">
        <x:v>Apoio em vedações sob medida para a BH Vedações</x:v>
      </x:c>
      <x:c r="U11" s="43" t="str">
        <x:v>Olá, equipe da BH Vedações,</x:v>
      </x:c>
      <x:c r="V11" s="43" t="str">
        <x:v>Olá, equipe da BH Vedações,
A Parts Seals está ampliando parcerias com empresas técnicas do setor, e o perfil da BH Vedações chamou nossa atenção pela atuação em vedações.
Em Belo Horizonte/MG, cadeias como mineração, metalurgia, cimento,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carregado,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1" s="43" t="str">
        <x:v>Olá, equipe da BH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1" s="43" t="str">
        <x:v>Olá, equipe da BH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1" s="43" t="str">
        <x:v>Vocês recebem consultas de peças especiais que acabam sem atendimento por prazo, material, quantidade ou ausência de desenho?</x:v>
      </x:c>
      <x:c r="Z11" s="43" t="str">
        <x:v>Este contato foi direcionado a um canal corporativo público por possível aderência entre as atividades das empresas. Para não receber novas mensagens da Parts Seals, responda com REMOVER.</x:v>
      </x:c>
      <x:c r="AA11" s="43" t="str">
        <x:v>Sem e-mail</x:v>
      </x:c>
      <x:c r="AB11" s="43" t="str">
        <x:v>Não</x:v>
      </x:c>
      <x:c r="AC11" s="44"/>
      <x:c r="AD11" s="44"/>
      <x:c r="AE11" s="44"/>
      <x:c r="AF11" s="44"/>
      <x:c r="AG11" s="43"/>
      <x:c r="AH11" s="43"/>
      <x:c r="AI11" s="43" t="str">
        <x:v>Não</x:v>
      </x:c>
      <x:c r="AJ11" s="43"/>
      <x:c r="AK11" s="43"/>
      <x:c r="AL11" s="43" t="str">
        <x:v>https://perfildaindustria.portaldaindustria.com.br/estado/tudo/mg | https://ibram.org.br/</x:v>
      </x:c>
      <x:c r="AM11" s="43" t="str">
        <x:v>Não localizado em fonte pública confiável até 24/07/2026</x:v>
      </x:c>
      <x:c r="AN11" s="43" t="str">
        <x:v>Pesquise a empresa BH Vedações, de Belo Horizonte/MG,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1" s="43" t="str">
        <x:v>2026-07-24 v1</x:v>
      </x:c>
    </x:row>
    <x:row r="12" ht="72" customHeight="1">
      <x:c r="A12" s="43" t="n">
        <x:v>11</x:v>
      </x:c>
      <x:c r="B12" s="43" t="str">
        <x:v>Casa das Vedações</x:v>
      </x:c>
      <x:c r="C12" s="43" t="str">
        <x:v>Vedações</x:v>
      </x:c>
      <x:c r="D12" s="43" t="str">
        <x:v>Belo Horizonte</x:v>
      </x:c>
      <x:c r="E12" s="43" t="str">
        <x:v>MG</x:v>
      </x:c>
      <x:c r="F12" s="43" t="str">
        <x:v>Sudeste</x:v>
      </x:c>
      <x:c r="G12" s="43" t="str">
        <x:v>B - Média</x:v>
      </x:c>
      <x:c r="H12" s="43" t="str">
        <x:v>Não contatado</x:v>
      </x:c>
      <x:c r="I12" s="43"/>
      <x:c r="J12" s="43" t="str">
        <x:v>Não localizado em fonte pública confiável até 24/07/2026</x:v>
      </x:c>
      <x:c r="K12" s="43" t="str">
        <x:v>Não</x:v>
      </x:c>
      <x:c r="L12" s="43" t="str">
        <x:v>especialista ou revenda de vedações industriais</x:v>
      </x:c>
      <x:c r="M12" s="43" t="str">
        <x:v>mineração, metalurgia, cimento, alimentos e manutenção industrial</x:v>
      </x:c>
      <x:c r="N12" s="43" t="str">
        <x:v>gaxetas, raspadores, anéis guia, vedações de haste e pistão, retentores especiais e reposições fora de linha</x:v>
      </x:c>
      <x:c r="O12" s="43" t="str">
        <x:v>peças sob medida em PTFE puro ou carregado, poliuretano, NBR, FKM, nylon e outros materiais técnicos</x:v>
      </x:c>
      <x:c r="P12" s="43" t="str">
        <x:v>complementar o portfólio com itens especiais, pequenas e médias séries, urgências e fabricação por desenho ou amostra</x:v>
      </x:c>
      <x:c r="Q12" s="43" t="str">
        <x:v>Segmento da base: Vedações; localização: Belo Horizonte/MG; contexto industrial regional usado apenas como hipótese comercial. Sem e-mail público localizado. Nenhuma afirmação sobre clientes ou aplicações específicas da empresa foi feita sem fonte.</x:v>
      </x:c>
      <x:c r="R12" s="43" t="str">
        <x:v>Baixa</x:v>
      </x:c>
      <x:c r="S12" s="43" t="str">
        <x:v>Sim</x:v>
      </x:c>
      <x:c r="T12" s="43" t="str">
        <x:v>Demandas fora de catálogo na Casa das Vedações</x:v>
      </x:c>
      <x:c r="U12" s="43" t="str">
        <x:v>Olá, equipe da Casa das Vedações,</x:v>
      </x:c>
      <x:c r="V12" s="43" t="str">
        <x:v>Olá, equipe da Casa das Vedações,
Gostaria de apresentar uma possibilidade de apoio complementar à Casa das Vedações para peças especiais, urgências e reposições fora de catálogo.
Em Belo Horizonte/MG, cadeias como mineração, metalurgia, cimento,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carregado,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2" s="43" t="str">
        <x:v>Olá, equipe da Casa das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2" s="43" t="str">
        <x:v>Olá, equipe da Casa das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2" s="43" t="str">
        <x:v>Vocês recebem consultas de peças especiais que acabam sem atendimento por prazo, material, quantidade ou ausência de desenho?</x:v>
      </x:c>
      <x:c r="Z12" s="43" t="str">
        <x:v>Este contato foi direcionado a um canal corporativo público por possível aderência entre as atividades das empresas. Para não receber novas mensagens da Parts Seals, responda com REMOVER.</x:v>
      </x:c>
      <x:c r="AA12" s="43" t="str">
        <x:v>Sem e-mail</x:v>
      </x:c>
      <x:c r="AB12" s="43" t="str">
        <x:v>Não</x:v>
      </x:c>
      <x:c r="AC12" s="44"/>
      <x:c r="AD12" s="44"/>
      <x:c r="AE12" s="44"/>
      <x:c r="AF12" s="44"/>
      <x:c r="AG12" s="43"/>
      <x:c r="AH12" s="43"/>
      <x:c r="AI12" s="43" t="str">
        <x:v>Não</x:v>
      </x:c>
      <x:c r="AJ12" s="43"/>
      <x:c r="AK12" s="43"/>
      <x:c r="AL12" s="43" t="str">
        <x:v>https://perfildaindustria.portaldaindustria.com.br/estado/tudo/mg | https://ibram.org.br/</x:v>
      </x:c>
      <x:c r="AM12" s="43" t="str">
        <x:v>Não localizado em fonte pública confiável até 24/07/2026</x:v>
      </x:c>
      <x:c r="AN12" s="43" t="str">
        <x:v>Pesquise a empresa Casa das Vedações, de Belo Horizonte/MG,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2" s="43" t="str">
        <x:v>2026-07-24 v1</x:v>
      </x:c>
    </x:row>
    <x:row r="13" ht="72" customHeight="1">
      <x:c r="A13" s="43" t="n">
        <x:v>12</x:v>
      </x:c>
      <x:c r="B13" s="43" t="str">
        <x:v>Casa dos Retentores</x:v>
      </x:c>
      <x:c r="C13" s="43" t="str">
        <x:v>Vedações</x:v>
      </x:c>
      <x:c r="D13" s="43" t="str">
        <x:v>Belo Horizonte</x:v>
      </x:c>
      <x:c r="E13" s="43" t="str">
        <x:v>MG</x:v>
      </x:c>
      <x:c r="F13" s="43" t="str">
        <x:v>Sudeste</x:v>
      </x:c>
      <x:c r="G13" s="43" t="str">
        <x:v>B - Média</x:v>
      </x:c>
      <x:c r="H13" s="43" t="str">
        <x:v>Não contatado</x:v>
      </x:c>
      <x:c r="I13" s="43" t="str">
        <x:v>vendas@totalvedacoes.com.br</x:v>
      </x:c>
      <x:c r="J13" s="43" t="str">
        <x:v>https://www.totalvedacoes.com.br/</x:v>
      </x:c>
      <x:c r="K13" s="43" t="str">
        <x:v>Sim</x:v>
      </x:c>
      <x:c r="L13" s="43" t="str">
        <x:v>especialista ou revenda de vedações industriais</x:v>
      </x:c>
      <x:c r="M13" s="43" t="str">
        <x:v>mineração, metalurgia, cimento, alimentos e manutenção industrial</x:v>
      </x:c>
      <x:c r="N13" s="43" t="str">
        <x:v>gaxetas, raspadores, anéis guia, vedações de haste e pistão, retentores especiais e reposições fora de linha</x:v>
      </x:c>
      <x:c r="O13" s="43" t="str">
        <x:v>peças sob medida em PTFE puro ou carregado, poliuretano, NBR, FKM, nylon e outros materiais técnicos</x:v>
      </x:c>
      <x:c r="P13" s="43" t="str">
        <x:v>complementar o portfólio com itens especiais, pequenas e médias séries, urgências e fabricação por desenho ou amostra</x:v>
      </x:c>
      <x:c r="Q13" s="43" t="str">
        <x:v>Segmento da base: Vedações; localização: Belo Horizonte/MG; contexto industrial regional usado apenas como hipótese comercial. Domínio do e-mail coincide com a fonte oficial. Nenhuma afirmação sobre clientes ou aplicações específicas da empresa foi feita sem fonte.</x:v>
      </x:c>
      <x:c r="R13" s="43" t="str">
        <x:v>Alta</x:v>
      </x:c>
      <x:c r="S13" s="43" t="str">
        <x:v>Recomendada</x:v>
      </x:c>
      <x:c r="T13" s="43" t="str">
        <x:v>Peças especiais para complementar o atendimento da Casa dos Retentores</x:v>
      </x:c>
      <x:c r="U13" s="43" t="str">
        <x:v>Olá, equipe da Casa dos Retentores,</x:v>
      </x:c>
      <x:c r="V13" s="43" t="str">
        <x:v>Olá, equipe da Casa dos Retentores,
Estou entrando em contato porque a atuação da Casa dos Retentores em vedações tem boa aderência ao tipo de fabricação especial que realizamos na Parts Seals.
Em Belo Horizonte/MG, cadeias como mineração, metalurgia, cimento,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carregado,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3" s="43" t="str">
        <x:v>Olá, equipe da Casa dos Retentores,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3" s="43" t="str">
        <x:v>Olá, equipe da Casa dos Retentores,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3" s="43" t="str">
        <x:v>Vocês recebem consultas de peças especiais que acabam sem atendimento por prazo, material, quantidade ou ausência de desenho?</x:v>
      </x:c>
      <x:c r="Z13" s="43" t="str">
        <x:v>Este contato foi direcionado a um canal corporativo público por possível aderência entre as atividades das empresas. Para não receber novas mensagens da Parts Seals, responda com REMOVER.</x:v>
      </x:c>
      <x:c r="AA13" s="43" t="str">
        <x:v>Aguardando aprovação</x:v>
      </x:c>
      <x:c r="AB13" s="43" t="str">
        <x:v>Não</x:v>
      </x:c>
      <x:c r="AC13" s="44"/>
      <x:c r="AD13" s="44"/>
      <x:c r="AE13" s="44"/>
      <x:c r="AF13" s="44"/>
      <x:c r="AG13" s="43"/>
      <x:c r="AH13" s="43"/>
      <x:c r="AI13" s="43" t="str">
        <x:v>Não</x:v>
      </x:c>
      <x:c r="AJ13" s="43"/>
      <x:c r="AK13" s="43"/>
      <x:c r="AL13" s="43" t="str">
        <x:v>https://perfildaindustria.portaldaindustria.com.br/estado/tudo/mg | https://ibram.org.br/</x:v>
      </x:c>
      <x:c r="AM13" s="43" t="str">
        <x:v>https://www.totalvedacoes.com.br/</x:v>
      </x:c>
      <x:c r="AN13" s="43" t="str">
        <x:v>Pesquise a empresa Casa dos Retentores, de Belo Horizonte/MG,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3" s="43" t="str">
        <x:v>2026-07-24 v1</x:v>
      </x:c>
    </x:row>
    <x:row r="14" ht="72" customHeight="1">
      <x:c r="A14" s="43" t="n">
        <x:v>13</x:v>
      </x:c>
      <x:c r="B14" s="43" t="str">
        <x:v>Hipress Componentes Hidráulicos</x:v>
      </x:c>
      <x:c r="C14" s="43" t="str">
        <x:v>Distribuidor Parker</x:v>
      </x:c>
      <x:c r="D14" s="43" t="str">
        <x:v>Belo Horizonte</x:v>
      </x:c>
      <x:c r="E14" s="43" t="str">
        <x:v>MG</x:v>
      </x:c>
      <x:c r="F14" s="43" t="str">
        <x:v>Sudeste</x:v>
      </x:c>
      <x:c r="G14" s="43" t="str">
        <x:v>Sem dados - qualificar</x:v>
      </x:c>
      <x:c r="H14" s="43" t="str">
        <x:v>Não contatado</x:v>
      </x:c>
      <x:c r="I14" s="43" t="str">
        <x:v>vendas@hipress.com.br</x:v>
      </x:c>
      <x:c r="J14" s="43" t="str">
        <x:v>https://www.hipress.com.br/contato/</x:v>
      </x:c>
      <x:c r="K14" s="43" t="str">
        <x:v>Sim</x:v>
      </x:c>
      <x:c r="L14" s="43" t="str">
        <x:v>distribuidor de componentes hidráulicos de linha</x:v>
      </x:c>
      <x:c r="M14" s="43" t="str">
        <x:v>mineração, metalurgia, cimento, alimentos e manutenção industrial</x:v>
      </x:c>
      <x:c r="N14" s="43" t="str">
        <x:v>vedações especiais para cilindros, equipamentos antigos e medidas que não constam no catálogo</x:v>
      </x:c>
      <x:c r="O14" s="43" t="str">
        <x:v>gaxetas, raspadores, anéis guia e peças em PU, PTFE, NBR e FKM sob medida</x:v>
      </x:c>
      <x:c r="P14" s="43" t="str">
        <x:v>complementar a linha Parker em aplicações especiais, sem substituir os itens padronizados</x:v>
      </x:c>
      <x:c r="Q14" s="43" t="str">
        <x:v>Segmento da base: Distribuidor Parker; localização: Belo Horizonte/MG; contexto industrial regional usado apenas como hipótese comercial. Domínio do e-mail coincide com a fonte oficial. Nenhuma afirmação sobre clientes ou aplicações específicas da empresa foi feita sem fonte.</x:v>
      </x:c>
      <x:c r="R14" s="43" t="str">
        <x:v>Alta</x:v>
      </x:c>
      <x:c r="S14" s="43" t="str">
        <x:v>Recomendada</x:v>
      </x:c>
      <x:c r="T14" s="43" t="str">
        <x:v>Possível parceria técnica — Hipress Componentes Hidráulicos e Parts Seals</x:v>
      </x:c>
      <x:c r="U14" s="43" t="str">
        <x:v>Olá, equipe da Hipress Componentes Hidráulicos,</x:v>
      </x:c>
      <x:c r="V14" s="43" t="str">
        <x:v>Olá, equipe da Hipress Componentes Hidráulicos,
Ao analisar o perfil da Hipress Componentes Hidráulicos em Belo Horizonte, identifiquei uma possibilidade de parceria para demandas de vedação que não se encaixam bem em linhas padronizadas.
Em Belo Horizonte/MG, cadeias como mineração, metalurgia, cimento, alimentos e manutenção industrial costumam gerar solicitações de vedações especiais, principalmente quando há pressão, desgaste, ataque químico, temperatura ou dificuldade de reposição. Para o perfil de distribuidor de componentes hidráulicos de linha, vemos maior aderência em vedações especiais para cilindros, equipamentos antigos e medidas que não constam no catálogo.
A Parts Seals pode apoiar com gaxetas, raspadores, anéis guia e peças em PU, PTFE, NBR e FKM sob medida. A seleção final do material é validada conforme a aplicação; para as demandas mais comuns da região, vale avaliar especialmente PU, PTFE carregado, NBR e FKM. Nosso objetivo é complementar a linha Parker em aplicações especiais, sem substituir os itens padronizados.
Quais medidas ou equipamentos ficam fora da linha catalogada e acabam exigindo uma solução especial?
Posso encaminhar uma apresentação curta ou avaliar um item real, sem compromisso?
Atenciosamente,
{{NOME_REMETENTE}}
Parts Seals Vedações Industriais
{{TELEFONE_REMETENTE}} | {{SITE_REMETENTE}}</x:v>
      </x:c>
      <x:c r="W14" s="43" t="str">
        <x:v>Olá, equipe da Hipress Componentes Hidráulicos,
Retomando meu contato: pelo perfil de distribuidor parker de vocês, acredito que podemos apoiar principalmente em vedações especiais para cilindros, equipamentos antigos e medidas que não constam no catálogo.
Se tiverem uma medida, desenho ou foto de um item difícil de localizar, podemos fazer uma análise inicial e indicar o material mais adequado. Há algum caso em aberto que possamos avaliar?
Atenciosamente,
{{NOME_REMETENTE}}
Parts Seals Vedações Industriais</x:v>
      </x:c>
      <x:c r="X14" s="43" t="str">
        <x:v>Olá, equipe da Hipress Componentes Hidráulicos,
Encerrando meu contato para não insistir. Caso surja alguma demanda de vedações especiais para cilindros, equipamentos antigos e medidas que não constam no catálogo,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4" s="43" t="str">
        <x:v>Quais medidas ou equipamentos ficam fora da linha catalogada e acabam exigindo uma solução especial?</x:v>
      </x:c>
      <x:c r="Z14" s="43" t="str">
        <x:v>Este contato foi direcionado a um canal corporativo público por possível aderência entre as atividades das empresas. Para não receber novas mensagens da Parts Seals, responda com REMOVER.</x:v>
      </x:c>
      <x:c r="AA14" s="43" t="str">
        <x:v>Aguardando aprovação</x:v>
      </x:c>
      <x:c r="AB14" s="43" t="str">
        <x:v>Não</x:v>
      </x:c>
      <x:c r="AC14" s="44"/>
      <x:c r="AD14" s="44"/>
      <x:c r="AE14" s="44"/>
      <x:c r="AF14" s="44"/>
      <x:c r="AG14" s="43"/>
      <x:c r="AH14" s="43"/>
      <x:c r="AI14" s="43" t="str">
        <x:v>Não</x:v>
      </x:c>
      <x:c r="AJ14" s="43"/>
      <x:c r="AK14" s="43"/>
      <x:c r="AL14" s="43" t="str">
        <x:v>https://perfildaindustria.portaldaindustria.com.br/estado/tudo/mg | https://ibram.org.br/</x:v>
      </x:c>
      <x:c r="AM14" s="43" t="str">
        <x:v>https://www.hipress.com.br/contato/</x:v>
      </x:c>
      <x:c r="AN14" s="43" t="str">
        <x:v>Pesquise a empresa Hipress Componentes Hidráulicos, de Belo Horizonte/MG,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4" s="43" t="str">
        <x:v>2026-07-24 v1</x:v>
      </x:c>
    </x:row>
    <x:row r="15" ht="72" customHeight="1">
      <x:c r="A15" s="43" t="n">
        <x:v>14</x:v>
      </x:c>
      <x:c r="B15" s="43" t="str">
        <x:v>Loja das Vedações</x:v>
      </x:c>
      <x:c r="C15" s="43" t="str">
        <x:v>Vedações</x:v>
      </x:c>
      <x:c r="D15" s="43" t="str">
        <x:v>Belo Horizonte</x:v>
      </x:c>
      <x:c r="E15" s="43" t="str">
        <x:v>MG</x:v>
      </x:c>
      <x:c r="F15" s="43" t="str">
        <x:v>Sudeste</x:v>
      </x:c>
      <x:c r="G15" s="43" t="str">
        <x:v>A - Alta</x:v>
      </x:c>
      <x:c r="H15" s="43" t="str">
        <x:v>Não contatado</x:v>
      </x:c>
      <x:c r="I15" s="43" t="str">
        <x:v>lojadasvedacoes@lojadasvedacoes.com.br</x:v>
      </x:c>
      <x:c r="J15" s="43" t="str">
        <x:v>https://lojadasvedacoes.com.br/contato/</x:v>
      </x:c>
      <x:c r="K15" s="43" t="str">
        <x:v>Sim</x:v>
      </x:c>
      <x:c r="L15" s="43" t="str">
        <x:v>especialista ou revenda de vedações industriais</x:v>
      </x:c>
      <x:c r="M15" s="43" t="str">
        <x:v>mineração, metalurgia, cimento, alimentos e manutenção industrial</x:v>
      </x:c>
      <x:c r="N15" s="43" t="str">
        <x:v>gaxetas, raspadores, anéis guia, vedações de haste e pistão, retentores especiais e reposições fora de linha</x:v>
      </x:c>
      <x:c r="O15" s="43" t="str">
        <x:v>peças sob medida em PTFE puro ou carregado, poliuretano, NBR, FKM, nylon e outros materiais técnicos</x:v>
      </x:c>
      <x:c r="P15" s="43" t="str">
        <x:v>complementar o portfólio com itens especiais, pequenas e médias séries, urgências e fabricação por desenho ou amostra</x:v>
      </x:c>
      <x:c r="Q15" s="43" t="str">
        <x:v>Segmento da base: Vedações; localização: Belo Horizonte/MG; contexto industrial regional usado apenas como hipótese comercial. Domínio do e-mail coincide com a fonte oficial. Nenhuma afirmação sobre clientes ou aplicações específicas da empresa foi feita sem fonte.</x:v>
      </x:c>
      <x:c r="R15" s="43" t="str">
        <x:v>Alta</x:v>
      </x:c>
      <x:c r="S15" s="43" t="str">
        <x:v>Recomendada</x:v>
      </x:c>
      <x:c r="T15" s="43" t="str">
        <x:v>Apoio em vedações sob medida para a Loja das Vedações</x:v>
      </x:c>
      <x:c r="U15" s="43" t="str">
        <x:v>Olá, equipe da Loja das Vedações,</x:v>
      </x:c>
      <x:c r="V15" s="43" t="str">
        <x:v>Olá, equipe da Loja das Vedações,
A Parts Seals está ampliando parcerias com empresas técnicas do setor, e o perfil da Loja das Vedações chamou nossa atenção pela atuação em vedações.
Em Belo Horizonte/MG, cadeias como mineração, metalurgia, cimento,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carregado,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5" s="43" t="str">
        <x:v>Olá, equipe da Loja das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5" s="43" t="str">
        <x:v>Olá, equipe da Loja das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5" s="43" t="str">
        <x:v>Vocês recebem consultas de peças especiais que acabam sem atendimento por prazo, material, quantidade ou ausência de desenho?</x:v>
      </x:c>
      <x:c r="Z15" s="43" t="str">
        <x:v>Este contato foi direcionado a um canal corporativo público por possível aderência entre as atividades das empresas. Para não receber novas mensagens da Parts Seals, responda com REMOVER.</x:v>
      </x:c>
      <x:c r="AA15" s="43" t="str">
        <x:v>Aguardando aprovação</x:v>
      </x:c>
      <x:c r="AB15" s="43" t="str">
        <x:v>Não</x:v>
      </x:c>
      <x:c r="AC15" s="44"/>
      <x:c r="AD15" s="44"/>
      <x:c r="AE15" s="44"/>
      <x:c r="AF15" s="44"/>
      <x:c r="AG15" s="43"/>
      <x:c r="AH15" s="43"/>
      <x:c r="AI15" s="43" t="str">
        <x:v>Não</x:v>
      </x:c>
      <x:c r="AJ15" s="43"/>
      <x:c r="AK15" s="43"/>
      <x:c r="AL15" s="43" t="str">
        <x:v>https://perfildaindustria.portaldaindustria.com.br/estado/tudo/mg | https://ibram.org.br/</x:v>
      </x:c>
      <x:c r="AM15" s="43" t="str">
        <x:v>https://lojadasvedacoes.com.br/contato/</x:v>
      </x:c>
      <x:c r="AN15" s="43" t="str">
        <x:v>Pesquise a empresa Loja das Vedações, de Belo Horizonte/MG,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5" s="43" t="str">
        <x:v>2026-07-24 v1</x:v>
      </x:c>
    </x:row>
    <x:row r="16" ht="72" customHeight="1">
      <x:c r="A16" s="43" t="n">
        <x:v>15</x:v>
      </x:c>
      <x:c r="B16" s="43" t="str">
        <x:v>MG Vedações e Borrachas</x:v>
      </x:c>
      <x:c r="C16" s="43" t="str">
        <x:v>Vedações</x:v>
      </x:c>
      <x:c r="D16" s="43" t="str">
        <x:v>Belo Horizonte</x:v>
      </x:c>
      <x:c r="E16" s="43" t="str">
        <x:v>MG</x:v>
      </x:c>
      <x:c r="F16" s="43" t="str">
        <x:v>Sudeste</x:v>
      </x:c>
      <x:c r="G16" s="43" t="str">
        <x:v>A - Alta</x:v>
      </x:c>
      <x:c r="H16" s="43" t="str">
        <x:v>Não contatado</x:v>
      </x:c>
      <x:c r="I16" s="43"/>
      <x:c r="J16" s="43" t="str">
        <x:v>Não localizado em fonte pública confiável até 24/07/2026</x:v>
      </x:c>
      <x:c r="K16" s="43" t="str">
        <x:v>Não</x:v>
      </x:c>
      <x:c r="L16" s="43" t="str">
        <x:v>especialista ou revenda de vedações industriais</x:v>
      </x:c>
      <x:c r="M16" s="43" t="str">
        <x:v>mineração, metalurgia, cimento, alimentos e manutenção industrial</x:v>
      </x:c>
      <x:c r="N16" s="43" t="str">
        <x:v>gaxetas, raspadores, anéis guia, vedações de haste e pistão, retentores especiais e reposições fora de linha</x:v>
      </x:c>
      <x:c r="O16" s="43" t="str">
        <x:v>peças sob medida em PTFE puro ou carregado, poliuretano, NBR, FKM, nylon e outros materiais técnicos</x:v>
      </x:c>
      <x:c r="P16" s="43" t="str">
        <x:v>complementar o portfólio com itens especiais, pequenas e médias séries, urgências e fabricação por desenho ou amostra</x:v>
      </x:c>
      <x:c r="Q16" s="43" t="str">
        <x:v>Segmento da base: Vedações; localização: Belo Horizonte/MG; contexto industrial regional usado apenas como hipótese comercial. Sem e-mail público localizado. Nenhuma afirmação sobre clientes ou aplicações específicas da empresa foi feita sem fonte.</x:v>
      </x:c>
      <x:c r="R16" s="43" t="str">
        <x:v>Baixa</x:v>
      </x:c>
      <x:c r="S16" s="43" t="str">
        <x:v>Sim</x:v>
      </x:c>
      <x:c r="T16" s="43" t="str">
        <x:v>Demandas fora de catálogo na MG Vedações e Borrachas</x:v>
      </x:c>
      <x:c r="U16" s="43" t="str">
        <x:v>Olá, equipe da MG Vedações e Borrachas,</x:v>
      </x:c>
      <x:c r="V16" s="43" t="str">
        <x:v>Olá, equipe da MG Vedações e Borrachas,
Gostaria de apresentar uma possibilidade de apoio complementar à MG Vedações e Borrachas para peças especiais, urgências e reposições fora de catálogo.
Em Belo Horizonte/MG, cadeias como mineração, metalurgia, cimento,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carregado,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6" s="43" t="str">
        <x:v>Olá, equipe da MG Vedações e Borrachas,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6" s="43" t="str">
        <x:v>Olá, equipe da MG Vedações e Borrachas,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6" s="43" t="str">
        <x:v>Vocês recebem consultas de peças especiais que acabam sem atendimento por prazo, material, quantidade ou ausência de desenho?</x:v>
      </x:c>
      <x:c r="Z16" s="43" t="str">
        <x:v>Este contato foi direcionado a um canal corporativo público por possível aderência entre as atividades das empresas. Para não receber novas mensagens da Parts Seals, responda com REMOVER.</x:v>
      </x:c>
      <x:c r="AA16" s="43" t="str">
        <x:v>Sem e-mail</x:v>
      </x:c>
      <x:c r="AB16" s="43" t="str">
        <x:v>Não</x:v>
      </x:c>
      <x:c r="AC16" s="44"/>
      <x:c r="AD16" s="44"/>
      <x:c r="AE16" s="44"/>
      <x:c r="AF16" s="44"/>
      <x:c r="AG16" s="43"/>
      <x:c r="AH16" s="43"/>
      <x:c r="AI16" s="43" t="str">
        <x:v>Não</x:v>
      </x:c>
      <x:c r="AJ16" s="43"/>
      <x:c r="AK16" s="43"/>
      <x:c r="AL16" s="43" t="str">
        <x:v>https://perfildaindustria.portaldaindustria.com.br/estado/tudo/mg | https://ibram.org.br/</x:v>
      </x:c>
      <x:c r="AM16" s="43" t="str">
        <x:v>Não localizado em fonte pública confiável até 24/07/2026</x:v>
      </x:c>
      <x:c r="AN16" s="43" t="str">
        <x:v>Pesquise a empresa MG Vedações e Borrachas, de Belo Horizonte/MG,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6" s="43" t="str">
        <x:v>2026-07-24 v1</x:v>
      </x:c>
    </x:row>
    <x:row r="17" ht="72" customHeight="1">
      <x:c r="A17" s="43" t="n">
        <x:v>16</x:v>
      </x:c>
      <x:c r="B17" s="43" t="str">
        <x:v>Sealminas Indústria e Comércio de Vedações</x:v>
      </x:c>
      <x:c r="C17" s="43" t="str">
        <x:v>Fabricante/Vedações</x:v>
      </x:c>
      <x:c r="D17" s="43" t="str">
        <x:v>Belo Horizonte</x:v>
      </x:c>
      <x:c r="E17" s="43" t="str">
        <x:v>MG</x:v>
      </x:c>
      <x:c r="F17" s="43" t="str">
        <x:v>Sudeste</x:v>
      </x:c>
      <x:c r="G17" s="43" t="str">
        <x:v>Sem dados - qualificar</x:v>
      </x:c>
      <x:c r="H17" s="43" t="str">
        <x:v>Não contatado</x:v>
      </x:c>
      <x:c r="I17" s="43" t="str">
        <x:v>sealminas@sealminas.com.br</x:v>
      </x:c>
      <x:c r="J17" s="43" t="str">
        <x:v>https://www.skf.com/binaries/pub330/Images/Distribuidores-Autorizados-IM-SKF-01-22_tcm_330-565060.pdf</x:v>
      </x:c>
      <x:c r="K17" s="43" t="str">
        <x:v>Sim</x:v>
      </x:c>
      <x:c r="L17" s="43" t="str">
        <x:v>fabricante ou transformador especializado em vedações</x:v>
      </x:c>
      <x:c r="M17" s="43" t="str">
        <x:v>mineração, metalurgia, cimento, alimentos e manutenção industrial</x:v>
      </x:c>
      <x:c r="N17" s="43" t="str">
        <x:v>itens fora de padrão, picos de demanda, protótipos, reposições urgentes e lotes que exigem processo ou material específico</x:v>
      </x:c>
      <x:c r="O17" s="43" t="str">
        <x:v>componentes usinados e moldados em PTFE puro ou carregado, PU, NBR, FKM e materiais técnicos, conforme desenho ou amostra</x:v>
      </x:c>
      <x:c r="P17" s="43" t="str">
        <x:v>atuar como apoio produtivo complementar, preservando a relação comercial de vocês com o cliente final</x:v>
      </x:c>
      <x:c r="Q17" s="43" t="str">
        <x:v>Segmento da base: Fabricante/Vedações; localização: Belo Horizonte/MG; contexto industrial regional usado apenas como hipótese comercial. Contato publicado em documento de fabricante ou distribuidor. Nenhuma afirmação sobre clientes ou aplicações específicas da empresa foi feita sem fonte.</x:v>
      </x:c>
      <x:c r="R17" s="43" t="str">
        <x:v>Moderada</x:v>
      </x:c>
      <x:c r="S17" s="43" t="str">
        <x:v>Sim</x:v>
      </x:c>
      <x:c r="T17" s="43" t="str">
        <x:v>Apoio produtivo para itens especiais — Sealminas Indústria e Comércio de Vedações</x:v>
      </x:c>
      <x:c r="U17" s="43" t="str">
        <x:v>Olá, equipe da Sealminas Indústria e Comércio de Vedações,</x:v>
      </x:c>
      <x:c r="V17" s="43" t="str">
        <x:v>Olá, equipe da Sealminas Indústria e Comércio de Vedações,
Estou entrando em contato porque a atuação da Sealminas Indústria e Comércio de Vedações em fabricante/vedações tem boa aderência ao tipo de fabricação especial que realizamos na Parts Seals.
Em Belo Horizonte/MG, cadeias como mineração, metalurgia, cimento, alimentos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PTFE carregado, NBR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7" s="43" t="str">
        <x:v>Olá, equipe da Sealminas Indústria e Comércio de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7" s="43" t="str">
        <x:v>Olá, equipe da Sealminas Indústria e Comércio de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7" s="43" t="str">
        <x:v>Existe hoje algum item especial, urgente ou de baixa quantidade que esteja ocupando capacidade ou ficando sem atendimento?</x:v>
      </x:c>
      <x:c r="Z17" s="43" t="str">
        <x:v>Este contato foi direcionado a um canal corporativo público por possível aderência entre as atividades das empresas. Para não receber novas mensagens da Parts Seals, responda com REMOVER.</x:v>
      </x:c>
      <x:c r="AA17" s="43" t="str">
        <x:v>Aguardando aprovação</x:v>
      </x:c>
      <x:c r="AB17" s="43" t="str">
        <x:v>Não</x:v>
      </x:c>
      <x:c r="AC17" s="44"/>
      <x:c r="AD17" s="44"/>
      <x:c r="AE17" s="44"/>
      <x:c r="AF17" s="44"/>
      <x:c r="AG17" s="43"/>
      <x:c r="AH17" s="43"/>
      <x:c r="AI17" s="43" t="str">
        <x:v>Não</x:v>
      </x:c>
      <x:c r="AJ17" s="43"/>
      <x:c r="AK17" s="43"/>
      <x:c r="AL17" s="43" t="str">
        <x:v>https://perfildaindustria.portaldaindustria.com.br/estado/tudo/mg | https://ibram.org.br/</x:v>
      </x:c>
      <x:c r="AM17" s="43" t="str">
        <x:v>https://www.skf.com/binaries/pub330/Images/Distribuidores-Autorizados-IM-SKF-01-22_tcm_330-565060.pdf</x:v>
      </x:c>
      <x:c r="AN17" s="43" t="str">
        <x:v>Pesquise a empresa Sealminas Indústria e Comércio de Vedações, de Belo Horizonte/MG,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7" s="43" t="str">
        <x:v>2026-07-24 v1</x:v>
      </x:c>
    </x:row>
    <x:row r="18" ht="72" customHeight="1">
      <x:c r="A18" s="43" t="n">
        <x:v>17</x:v>
      </x:c>
      <x:c r="B18" s="43" t="str">
        <x:v>Total Vedações</x:v>
      </x:c>
      <x:c r="C18" s="43" t="str">
        <x:v>Distribuidor Sabó</x:v>
      </x:c>
      <x:c r="D18" s="43" t="str">
        <x:v>Belo Horizonte</x:v>
      </x:c>
      <x:c r="E18" s="43" t="str">
        <x:v>MG</x:v>
      </x:c>
      <x:c r="F18" s="43" t="str">
        <x:v>Sudeste</x:v>
      </x:c>
      <x:c r="G18" s="43" t="str">
        <x:v>A - Alta</x:v>
      </x:c>
      <x:c r="H18" s="43" t="str">
        <x:v>Não contatado</x:v>
      </x:c>
      <x:c r="I18" s="43" t="str">
        <x:v>vendas@totalvedacoes.com.br</x:v>
      </x:c>
      <x:c r="J18" s="43" t="str">
        <x:v>https://www.totalvedacoes.com.br/</x:v>
      </x:c>
      <x:c r="K18" s="43" t="str">
        <x:v>Sim</x:v>
      </x:c>
      <x:c r="L18" s="43" t="str">
        <x:v>distribuidor de retentores e vedações de linha</x:v>
      </x:c>
      <x:c r="M18" s="43" t="str">
        <x:v>mineração, metalurgia, cimento, alimentos e manutenção industrial</x:v>
      </x:c>
      <x:c r="N18" s="43" t="str">
        <x:v>retentores especiais, medidas fora de catálogo e reposições industriais antigas</x:v>
      </x:c>
      <x:c r="O18" s="43" t="str">
        <x:v>peças em NBR, FKM, PU e PTFE conforme amostra ou desenho</x:v>
      </x:c>
      <x:c r="P18" s="43" t="str">
        <x:v>complementar a linha Sabó quando o item é especial, descontinuado ou de baixa quantidade</x:v>
      </x:c>
      <x:c r="Q18" s="43" t="str">
        <x:v>Segmento da base: Distribuidor Sabó; localização: Belo Horizonte/MG; contexto industrial regional usado apenas como hipótese comercial. Domínio do e-mail coincide com a fonte oficial. Nenhuma afirmação sobre clientes ou aplicações específicas da empresa foi feita sem fonte.</x:v>
      </x:c>
      <x:c r="R18" s="43" t="str">
        <x:v>Alta</x:v>
      </x:c>
      <x:c r="S18" s="43" t="str">
        <x:v>Recomendada</x:v>
      </x:c>
      <x:c r="T18" s="43" t="str">
        <x:v>Medidas fora de catálogo — apoio Parts Seals</x:v>
      </x:c>
      <x:c r="U18" s="43" t="str">
        <x:v>Olá, equipe da Total Vedações,</x:v>
      </x:c>
      <x:c r="V18" s="43" t="str">
        <x:v>Olá, equipe da Total Vedações,
Ao analisar o perfil da Total Vedações em Belo Horizonte, identifiquei uma possibilidade de parceria para demandas de vedação que não se encaixam bem em linhas padronizadas.
Em Belo Horizonte/MG, cadeias como mineração, metalurgia, cimento, alimentos e manutenção industrial costumam gerar solicitações de vedações especiais, principalmente quando há pressão, desgaste, ataque químico, temperatura ou dificuldade de reposição. Para o perfil de distribuidor de retentores e vedações de linha, vemos maior aderência em retentores especiais, medidas fora de catálogo e reposições industriais antigas.
A Parts Seals pode apoiar com peças em NBR, FKM, PU e PTFE conforme amostra ou desenho. A seleção final do material é validada conforme a aplicação; para as demandas mais comuns da região, vale avaliar especialmente PU, PTFE carregado, NBR e FKM. Nosso objetivo é complementar a linha Sabó quando o item é especial, descontinuado ou de baixa quantidade.
Há pedidos de retentores ou vedações especiais que hoje não encontram correspondência na linha catalogada?
Posso encaminhar uma apresentação curta ou avaliar um item real, sem compromisso?
Atenciosamente,
{{NOME_REMETENTE}}
Parts Seals Vedações Industriais
{{TELEFONE_REMETENTE}} | {{SITE_REMETENTE}}</x:v>
      </x:c>
      <x:c r="W18" s="43" t="str">
        <x:v>Olá, equipe da Total Vedações,
Retomando meu contato: pelo perfil de distribuidor sabó de vocês, acredito que podemos apoiar principalmente em retentores especiais, medidas fora de catálogo e reposições industriais antigas.
Se tiverem uma medida, desenho ou foto de um item difícil de localizar, podemos fazer uma análise inicial e indicar o material mais adequado. Há algum caso em aberto que possamos avaliar?
Atenciosamente,
{{NOME_REMETENTE}}
Parts Seals Vedações Industriais</x:v>
      </x:c>
      <x:c r="X18" s="43" t="str">
        <x:v>Olá, equipe da Total Vedações,
Encerrando meu contato para não insistir. Caso surja alguma demanda de retentores especiais, medidas fora de catálogo e reposições industriais antigas,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8" s="43" t="str">
        <x:v>Há pedidos de retentores ou vedações especiais que hoje não encontram correspondência na linha catalogada?</x:v>
      </x:c>
      <x:c r="Z18" s="43" t="str">
        <x:v>Este contato foi direcionado a um canal corporativo público por possível aderência entre as atividades das empresas. Para não receber novas mensagens da Parts Seals, responda com REMOVER.</x:v>
      </x:c>
      <x:c r="AA18" s="43" t="str">
        <x:v>Aguardando aprovação</x:v>
      </x:c>
      <x:c r="AB18" s="43" t="str">
        <x:v>Não</x:v>
      </x:c>
      <x:c r="AC18" s="44"/>
      <x:c r="AD18" s="44"/>
      <x:c r="AE18" s="44"/>
      <x:c r="AF18" s="44"/>
      <x:c r="AG18" s="43"/>
      <x:c r="AH18" s="43"/>
      <x:c r="AI18" s="43" t="str">
        <x:v>Não</x:v>
      </x:c>
      <x:c r="AJ18" s="43"/>
      <x:c r="AK18" s="43"/>
      <x:c r="AL18" s="43" t="str">
        <x:v>https://perfildaindustria.portaldaindustria.com.br/estado/tudo/mg | https://ibram.org.br/</x:v>
      </x:c>
      <x:c r="AM18" s="43" t="str">
        <x:v>https://www.totalvedacoes.com.br/</x:v>
      </x:c>
      <x:c r="AN18" s="43" t="str">
        <x:v>Pesquise a empresa Total Vedações, de Belo Horizonte/MG,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8" s="43" t="str">
        <x:v>2026-07-24 v1</x:v>
      </x:c>
    </x:row>
    <x:row r="19" ht="72" customHeight="1">
      <x:c r="A19" s="43" t="n">
        <x:v>18</x:v>
      </x:c>
      <x:c r="B19" s="43" t="str">
        <x:v>Universo Vedações</x:v>
      </x:c>
      <x:c r="C19" s="43" t="str">
        <x:v>Vedações</x:v>
      </x:c>
      <x:c r="D19" s="43" t="str">
        <x:v>Belo Horizonte</x:v>
      </x:c>
      <x:c r="E19" s="43" t="str">
        <x:v>MG</x:v>
      </x:c>
      <x:c r="F19" s="43" t="str">
        <x:v>Sudeste</x:v>
      </x:c>
      <x:c r="G19" s="43" t="str">
        <x:v>A - Alta</x:v>
      </x:c>
      <x:c r="H19" s="43" t="str">
        <x:v>Não contatado</x:v>
      </x:c>
      <x:c r="I19" s="43"/>
      <x:c r="J19" s="43" t="str">
        <x:v>Não localizado em fonte pública confiável até 24/07/2026</x:v>
      </x:c>
      <x:c r="K19" s="43" t="str">
        <x:v>Não</x:v>
      </x:c>
      <x:c r="L19" s="43" t="str">
        <x:v>especialista ou revenda de vedações industriais</x:v>
      </x:c>
      <x:c r="M19" s="43" t="str">
        <x:v>mineração, metalurgia, cimento, alimentos e manutenção industrial</x:v>
      </x:c>
      <x:c r="N19" s="43" t="str">
        <x:v>gaxetas, raspadores, anéis guia, vedações de haste e pistão, retentores especiais e reposições fora de linha</x:v>
      </x:c>
      <x:c r="O19" s="43" t="str">
        <x:v>peças sob medida em PTFE puro ou carregado, poliuretano, NBR, FKM, nylon e outros materiais técnicos</x:v>
      </x:c>
      <x:c r="P19" s="43" t="str">
        <x:v>complementar o portfólio com itens especiais, pequenas e médias séries, urgências e fabricação por desenho ou amostra</x:v>
      </x:c>
      <x:c r="Q19" s="43" t="str">
        <x:v>Segmento da base: Vedações; localização: Belo Horizonte/MG; contexto industrial regional usado apenas como hipótese comercial. Sem e-mail público localizado. Nenhuma afirmação sobre clientes ou aplicações específicas da empresa foi feita sem fonte.</x:v>
      </x:c>
      <x:c r="R19" s="43" t="str">
        <x:v>Baixa</x:v>
      </x:c>
      <x:c r="S19" s="43" t="str">
        <x:v>Sim</x:v>
      </x:c>
      <x:c r="T19" s="43" t="str">
        <x:v>Apoio em vedações sob medida para a Universo Vedações</x:v>
      </x:c>
      <x:c r="U19" s="43" t="str">
        <x:v>Olá, equipe da Universo Vedações,</x:v>
      </x:c>
      <x:c r="V19" s="43" t="str">
        <x:v>Olá, equipe da Universo Vedações,
A Parts Seals está ampliando parcerias com empresas técnicas do setor, e o perfil da Universo Vedações chamou nossa atenção pela atuação em vedações.
Em Belo Horizonte/MG, cadeias como mineração, metalurgia, cimento,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carregado,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9" s="43" t="str">
        <x:v>Olá, equipe da Universo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9" s="43" t="str">
        <x:v>Olá, equipe da Universo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9" s="43" t="str">
        <x:v>Vocês recebem consultas de peças especiais que acabam sem atendimento por prazo, material, quantidade ou ausência de desenho?</x:v>
      </x:c>
      <x:c r="Z19" s="43" t="str">
        <x:v>Este contato foi direcionado a um canal corporativo público por possível aderência entre as atividades das empresas. Para não receber novas mensagens da Parts Seals, responda com REMOVER.</x:v>
      </x:c>
      <x:c r="AA19" s="43" t="str">
        <x:v>Sem e-mail</x:v>
      </x:c>
      <x:c r="AB19" s="43" t="str">
        <x:v>Não</x:v>
      </x:c>
      <x:c r="AC19" s="44"/>
      <x:c r="AD19" s="44"/>
      <x:c r="AE19" s="44"/>
      <x:c r="AF19" s="44"/>
      <x:c r="AG19" s="43"/>
      <x:c r="AH19" s="43"/>
      <x:c r="AI19" s="43" t="str">
        <x:v>Não</x:v>
      </x:c>
      <x:c r="AJ19" s="43"/>
      <x:c r="AK19" s="43"/>
      <x:c r="AL19" s="43" t="str">
        <x:v>https://perfildaindustria.portaldaindustria.com.br/estado/tudo/mg | https://ibram.org.br/</x:v>
      </x:c>
      <x:c r="AM19" s="43" t="str">
        <x:v>Não localizado em fonte pública confiável até 24/07/2026</x:v>
      </x:c>
      <x:c r="AN19" s="43" t="str">
        <x:v>Pesquise a empresa Universo Vedações, de Belo Horizonte/MG,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9" s="43" t="str">
        <x:v>2026-07-24 v1</x:v>
      </x:c>
    </x:row>
    <x:row r="20" ht="72" customHeight="1">
      <x:c r="A20" s="43" t="n">
        <x:v>19</x:v>
      </x:c>
      <x:c r="B20" s="43" t="str">
        <x:v>Vedações Rio Branco</x:v>
      </x:c>
      <x:c r="C20" s="43" t="str">
        <x:v>Vedações</x:v>
      </x:c>
      <x:c r="D20" s="43" t="str">
        <x:v>Belo Horizonte</x:v>
      </x:c>
      <x:c r="E20" s="43" t="str">
        <x:v>MG</x:v>
      </x:c>
      <x:c r="F20" s="43" t="str">
        <x:v>Sudeste</x:v>
      </x:c>
      <x:c r="G20" s="43" t="str">
        <x:v>B - Média</x:v>
      </x:c>
      <x:c r="H20" s="43" t="str">
        <x:v>Não contatado</x:v>
      </x:c>
      <x:c r="I20" s="43" t="str">
        <x:v>contato@vedacoesriobranco.com.br</x:v>
      </x:c>
      <x:c r="J20" s="43" t="str">
        <x:v>https://www.vedacoesriobranco.com.br/</x:v>
      </x:c>
      <x:c r="K20" s="43" t="str">
        <x:v>Sim</x:v>
      </x:c>
      <x:c r="L20" s="43" t="str">
        <x:v>especialista ou revenda de vedações industriais</x:v>
      </x:c>
      <x:c r="M20" s="43" t="str">
        <x:v>mineração, metalurgia, cimento, alimentos e manutenção industrial</x:v>
      </x:c>
      <x:c r="N20" s="43" t="str">
        <x:v>gaxetas, raspadores, anéis guia, vedações de haste e pistão, retentores especiais e reposições fora de linha</x:v>
      </x:c>
      <x:c r="O20" s="43" t="str">
        <x:v>peças sob medida em PTFE puro ou carregado, poliuretano, NBR, FKM, nylon e outros materiais técnicos</x:v>
      </x:c>
      <x:c r="P20" s="43" t="str">
        <x:v>complementar o portfólio com itens especiais, pequenas e médias séries, urgências e fabricação por desenho ou amostra</x:v>
      </x:c>
      <x:c r="Q20" s="43" t="str">
        <x:v>Segmento da base: Vedações; localização: Belo Horizonte/MG; contexto industrial regional usado apenas como hipótese comercial. Domínio do e-mail coincide com a fonte oficial. Nenhuma afirmação sobre clientes ou aplicações específicas da empresa foi feita sem fonte.</x:v>
      </x:c>
      <x:c r="R20" s="43" t="str">
        <x:v>Alta</x:v>
      </x:c>
      <x:c r="S20" s="43" t="str">
        <x:v>Recomendada</x:v>
      </x:c>
      <x:c r="T20" s="43" t="str">
        <x:v>Demandas fora de catálogo na Vedações Rio Branco</x:v>
      </x:c>
      <x:c r="U20" s="43" t="str">
        <x:v>Olá, equipe da Vedações Rio Branco,</x:v>
      </x:c>
      <x:c r="V20" s="43" t="str">
        <x:v>Olá, equipe da Vedações Rio Branco,
Gostaria de apresentar uma possibilidade de apoio complementar à Vedações Rio Branco para peças especiais, urgências e reposições fora de catálogo.
Em Belo Horizonte/MG, cadeias como mineração, metalurgia, cimento,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carregado,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0" s="43" t="str">
        <x:v>Olá, equipe da Vedações Rio Branco,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0" s="43" t="str">
        <x:v>Olá, equipe da Vedações Rio Branco,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0" s="43" t="str">
        <x:v>Vocês recebem consultas de peças especiais que acabam sem atendimento por prazo, material, quantidade ou ausência de desenho?</x:v>
      </x:c>
      <x:c r="Z20" s="43" t="str">
        <x:v>Este contato foi direcionado a um canal corporativo público por possível aderência entre as atividades das empresas. Para não receber novas mensagens da Parts Seals, responda com REMOVER.</x:v>
      </x:c>
      <x:c r="AA20" s="43" t="str">
        <x:v>Aguardando aprovação</x:v>
      </x:c>
      <x:c r="AB20" s="43" t="str">
        <x:v>Não</x:v>
      </x:c>
      <x:c r="AC20" s="44"/>
      <x:c r="AD20" s="44"/>
      <x:c r="AE20" s="44"/>
      <x:c r="AF20" s="44"/>
      <x:c r="AG20" s="43"/>
      <x:c r="AH20" s="43"/>
      <x:c r="AI20" s="43" t="str">
        <x:v>Não</x:v>
      </x:c>
      <x:c r="AJ20" s="43"/>
      <x:c r="AK20" s="43"/>
      <x:c r="AL20" s="43" t="str">
        <x:v>https://perfildaindustria.portaldaindustria.com.br/estado/tudo/mg | https://ibram.org.br/</x:v>
      </x:c>
      <x:c r="AM20" s="43" t="str">
        <x:v>https://www.vedacoesriobranco.com.br/</x:v>
      </x:c>
      <x:c r="AN20" s="43" t="str">
        <x:v>Pesquise a empresa Vedações Rio Branco, de Belo Horizonte/MG,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0" s="43" t="str">
        <x:v>2026-07-24 v1</x:v>
      </x:c>
    </x:row>
    <x:row r="21" ht="72" customHeight="1">
      <x:c r="A21" s="43" t="n">
        <x:v>20</x:v>
      </x:c>
      <x:c r="B21" s="43" t="str">
        <x:v>Via Vedações Industriais e Acessórios</x:v>
      </x:c>
      <x:c r="C21" s="43" t="str">
        <x:v>Vedações</x:v>
      </x:c>
      <x:c r="D21" s="43" t="str">
        <x:v>Belo Horizonte</x:v>
      </x:c>
      <x:c r="E21" s="43" t="str">
        <x:v>MG</x:v>
      </x:c>
      <x:c r="F21" s="43" t="str">
        <x:v>Sudeste</x:v>
      </x:c>
      <x:c r="G21" s="43" t="str">
        <x:v>Sem dados - qualificar</x:v>
      </x:c>
      <x:c r="H21" s="43" t="str">
        <x:v>Não contatado</x:v>
      </x:c>
      <x:c r="I21" s="43"/>
      <x:c r="J21" s="43" t="str">
        <x:v>Não localizado em fonte pública confiável até 24/07/2026</x:v>
      </x:c>
      <x:c r="K21" s="43" t="str">
        <x:v>Não</x:v>
      </x:c>
      <x:c r="L21" s="43" t="str">
        <x:v>especialista ou revenda de vedações industriais</x:v>
      </x:c>
      <x:c r="M21" s="43" t="str">
        <x:v>mineração, metalurgia, cimento, alimentos e manutenção industrial</x:v>
      </x:c>
      <x:c r="N21" s="43" t="str">
        <x:v>gaxetas, raspadores, anéis guia, vedações de haste e pistão, retentores especiais e reposições fora de linha</x:v>
      </x:c>
      <x:c r="O21" s="43" t="str">
        <x:v>peças sob medida em PTFE puro ou carregado, poliuretano, NBR, FKM, nylon e outros materiais técnicos</x:v>
      </x:c>
      <x:c r="P21" s="43" t="str">
        <x:v>complementar o portfólio com itens especiais, pequenas e médias séries, urgências e fabricação por desenho ou amostra</x:v>
      </x:c>
      <x:c r="Q21" s="43" t="str">
        <x:v>Segmento da base: Vedações; localização: Belo Horizonte/MG; contexto industrial regional usado apenas como hipótese comercial. Sem e-mail público localizado. Nenhuma afirmação sobre clientes ou aplicações específicas da empresa foi feita sem fonte.</x:v>
      </x:c>
      <x:c r="R21" s="43" t="str">
        <x:v>Baixa</x:v>
      </x:c>
      <x:c r="S21" s="43" t="str">
        <x:v>Sim</x:v>
      </x:c>
      <x:c r="T21" s="43" t="str">
        <x:v>Peças especiais para complementar o atendimento da Via Vedações Industriais e Acessórios</x:v>
      </x:c>
      <x:c r="U21" s="43" t="str">
        <x:v>Olá, equipe da Via Vedações Industriais e Acessórios,</x:v>
      </x:c>
      <x:c r="V21" s="43" t="str">
        <x:v>Olá, equipe da Via Vedações Industriais e Acessórios,
Estou entrando em contato porque a atuação da Via Vedações Industriais e Acessórios em vedações tem boa aderência ao tipo de fabricação especial que realizamos na Parts Seals.
Em Belo Horizonte/MG, cadeias como mineração, metalurgia, cimento,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carregado,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1" s="43" t="str">
        <x:v>Olá, equipe da Via Vedações Industriais e Acessórios,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1" s="43" t="str">
        <x:v>Olá, equipe da Via Vedações Industriais e Acessórios,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1" s="43" t="str">
        <x:v>Vocês recebem consultas de peças especiais que acabam sem atendimento por prazo, material, quantidade ou ausência de desenho?</x:v>
      </x:c>
      <x:c r="Z21" s="43" t="str">
        <x:v>Este contato foi direcionado a um canal corporativo público por possível aderência entre as atividades das empresas. Para não receber novas mensagens da Parts Seals, responda com REMOVER.</x:v>
      </x:c>
      <x:c r="AA21" s="43" t="str">
        <x:v>Sem e-mail</x:v>
      </x:c>
      <x:c r="AB21" s="43" t="str">
        <x:v>Não</x:v>
      </x:c>
      <x:c r="AC21" s="44"/>
      <x:c r="AD21" s="44"/>
      <x:c r="AE21" s="44"/>
      <x:c r="AF21" s="44"/>
      <x:c r="AG21" s="43"/>
      <x:c r="AH21" s="43"/>
      <x:c r="AI21" s="43" t="str">
        <x:v>Não</x:v>
      </x:c>
      <x:c r="AJ21" s="43"/>
      <x:c r="AK21" s="43"/>
      <x:c r="AL21" s="43" t="str">
        <x:v>https://perfildaindustria.portaldaindustria.com.br/estado/tudo/mg | https://ibram.org.br/</x:v>
      </x:c>
      <x:c r="AM21" s="43" t="str">
        <x:v>Não localizado em fonte pública confiável até 24/07/2026</x:v>
      </x:c>
      <x:c r="AN21" s="43" t="str">
        <x:v>Pesquise a empresa Via Vedações Industriais e Acessórios, de Belo Horizonte/MG,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1" s="43" t="str">
        <x:v>2026-07-24 v1</x:v>
      </x:c>
    </x:row>
    <x:row r="22" ht="72" customHeight="1">
      <x:c r="A22" s="43" t="n">
        <x:v>21</x:v>
      </x:c>
      <x:c r="B22" s="43" t="str">
        <x:v>RS Vedações</x:v>
      </x:c>
      <x:c r="C22" s="43" t="str">
        <x:v>Fabricante/Vedações</x:v>
      </x:c>
      <x:c r="D22" s="43" t="str">
        <x:v>Betim</x:v>
      </x:c>
      <x:c r="E22" s="43" t="str">
        <x:v>MG</x:v>
      </x:c>
      <x:c r="F22" s="43" t="str">
        <x:v>Sudeste</x:v>
      </x:c>
      <x:c r="G22" s="43" t="str">
        <x:v>A - Alta</x:v>
      </x:c>
      <x:c r="H22" s="43" t="str">
        <x:v>Não contatado</x:v>
      </x:c>
      <x:c r="I22" s="43"/>
      <x:c r="J22" s="43" t="str">
        <x:v>Não localizado em fonte pública confiável até 24/07/2026</x:v>
      </x:c>
      <x:c r="K22" s="43" t="str">
        <x:v>Não</x:v>
      </x:c>
      <x:c r="L22" s="43" t="str">
        <x:v>fabricante ou transformador especializado em vedações</x:v>
      </x:c>
      <x:c r="M22" s="43" t="str">
        <x:v>automotivo, metalurgia, mineração e manutenção industrial</x:v>
      </x:c>
      <x:c r="N22" s="43" t="str">
        <x:v>itens fora de padrão, picos de demanda, protótipos, reposições urgentes e lotes que exigem processo ou material específico</x:v>
      </x:c>
      <x:c r="O22" s="43" t="str">
        <x:v>componentes usinados e moldados em PTFE puro ou carregado, PU, NBR, FKM e materiais técnicos, conforme desenho ou amostra</x:v>
      </x:c>
      <x:c r="P22" s="43" t="str">
        <x:v>atuar como apoio produtivo complementar, preservando a relação comercial de vocês com o cliente final</x:v>
      </x:c>
      <x:c r="Q22" s="43" t="str">
        <x:v>Segmento da base: Fabricante/Vedações; localização: Betim/MG; contexto industrial regional usado apenas como hipótese comercial. Sem e-mail público localizado. Nenhuma afirmação sobre clientes ou aplicações específicas da empresa foi feita sem fonte.</x:v>
      </x:c>
      <x:c r="R22" s="43" t="str">
        <x:v>Baixa</x:v>
      </x:c>
      <x:c r="S22" s="43" t="str">
        <x:v>Sim</x:v>
      </x:c>
      <x:c r="T22" s="43" t="str">
        <x:v>Parceria para picos de demanda e peças especiais</x:v>
      </x:c>
      <x:c r="U22" s="43" t="str">
        <x:v>Olá, equipe da RS Vedações,</x:v>
      </x:c>
      <x:c r="V22" s="43" t="str">
        <x:v>Olá, equipe da RS Vedações,
Ao analisar o perfil da RS Vedações em Betim, identifiquei uma possibilidade de parceria para demandas de vedação que não se encaixam bem em linhas padronizadas.
Em Betim/MG, cadeias como automotivo, metalurgia, mineração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22" s="43" t="str">
        <x:v>Olá, equipe da RS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22" s="43" t="str">
        <x:v>Olá, equipe da RS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2" s="43" t="str">
        <x:v>Existe hoje algum item especial, urgente ou de baixa quantidade que esteja ocupando capacidade ou ficando sem atendimento?</x:v>
      </x:c>
      <x:c r="Z22" s="43" t="str">
        <x:v>Este contato foi direcionado a um canal corporativo público por possível aderência entre as atividades das empresas. Para não receber novas mensagens da Parts Seals, responda com REMOVER.</x:v>
      </x:c>
      <x:c r="AA22" s="43" t="str">
        <x:v>Sem e-mail</x:v>
      </x:c>
      <x:c r="AB22" s="43" t="str">
        <x:v>Não</x:v>
      </x:c>
      <x:c r="AC22" s="44"/>
      <x:c r="AD22" s="44"/>
      <x:c r="AE22" s="44"/>
      <x:c r="AF22" s="44"/>
      <x:c r="AG22" s="43"/>
      <x:c r="AH22" s="43"/>
      <x:c r="AI22" s="43" t="str">
        <x:v>Não</x:v>
      </x:c>
      <x:c r="AJ22" s="43"/>
      <x:c r="AK22" s="43"/>
      <x:c r="AL22" s="43" t="str">
        <x:v>https://perfildaindustria.portaldaindustria.com.br/estado/tudo/mg | https://ibram.org.br/</x:v>
      </x:c>
      <x:c r="AM22" s="43" t="str">
        <x:v>Não localizado em fonte pública confiável até 24/07/2026</x:v>
      </x:c>
      <x:c r="AN22" s="43" t="str">
        <x:v>Pesquise a empresa RS Vedações, de Betim/MG,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2" s="43" t="str">
        <x:v>2026-07-24 v1</x:v>
      </x:c>
    </x:row>
    <x:row r="23" ht="72" customHeight="1">
      <x:c r="A23" s="43" t="n">
        <x:v>22</x:v>
      </x:c>
      <x:c r="B23" s="43" t="str">
        <x:v>Vedam Vedações</x:v>
      </x:c>
      <x:c r="C23" s="43" t="str">
        <x:v>Vedações</x:v>
      </x:c>
      <x:c r="D23" s="43" t="str">
        <x:v>Betim</x:v>
      </x:c>
      <x:c r="E23" s="43" t="str">
        <x:v>MG</x:v>
      </x:c>
      <x:c r="F23" s="43" t="str">
        <x:v>Sudeste</x:v>
      </x:c>
      <x:c r="G23" s="43" t="str">
        <x:v>B - Média</x:v>
      </x:c>
      <x:c r="H23" s="43" t="str">
        <x:v>Não contatado</x:v>
      </x:c>
      <x:c r="I23" s="43"/>
      <x:c r="J23" s="43" t="str">
        <x:v>Não localizado em fonte pública confiável até 24/07/2026</x:v>
      </x:c>
      <x:c r="K23" s="43" t="str">
        <x:v>Não</x:v>
      </x:c>
      <x:c r="L23" s="43" t="str">
        <x:v>especialista ou revenda de vedações industriais</x:v>
      </x:c>
      <x:c r="M23" s="43" t="str">
        <x:v>automotivo, metalurgia, mineração e manutenção industrial</x:v>
      </x:c>
      <x:c r="N23" s="43" t="str">
        <x:v>gaxetas, raspadores, anéis guia, vedações de haste e pistão, retentores especiais e reposições fora de linha</x:v>
      </x:c>
      <x:c r="O23" s="43" t="str">
        <x:v>peças sob medida em PTFE puro ou carregado, poliuretano, NBR, FKM, nylon e outros materiais técnicos</x:v>
      </x:c>
      <x:c r="P23" s="43" t="str">
        <x:v>complementar o portfólio com itens especiais, pequenas e médias séries, urgências e fabricação por desenho ou amostra</x:v>
      </x:c>
      <x:c r="Q23" s="43" t="str">
        <x:v>Segmento da base: Vedações; localização: Betim/MG; contexto industrial regional usado apenas como hipótese comercial. Sem e-mail público localizado. Nenhuma afirmação sobre clientes ou aplicações específicas da empresa foi feita sem fonte.</x:v>
      </x:c>
      <x:c r="R23" s="43" t="str">
        <x:v>Baixa</x:v>
      </x:c>
      <x:c r="S23" s="43" t="str">
        <x:v>Sim</x:v>
      </x:c>
      <x:c r="T23" s="43" t="str">
        <x:v>Apoio em vedações sob medida para a Vedam Vedações</x:v>
      </x:c>
      <x:c r="U23" s="43" t="str">
        <x:v>Olá, equipe da Vedam Vedações,</x:v>
      </x:c>
      <x:c r="V23" s="43" t="str">
        <x:v>Olá, equipe da Vedam Vedações,
A Parts Seals está ampliando parcerias com empresas técnicas do setor, e o perfil da Vedam Vedações chamou nossa atenção pela atuação em vedações.
Em Betim/MG, cadeias como automotivo, metalurgia, mineração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3" s="43" t="str">
        <x:v>Olá, equipe da Vedam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3" s="43" t="str">
        <x:v>Olá, equipe da Vedam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3" s="43" t="str">
        <x:v>Vocês recebem consultas de peças especiais que acabam sem atendimento por prazo, material, quantidade ou ausência de desenho?</x:v>
      </x:c>
      <x:c r="Z23" s="43" t="str">
        <x:v>Este contato foi direcionado a um canal corporativo público por possível aderência entre as atividades das empresas. Para não receber novas mensagens da Parts Seals, responda com REMOVER.</x:v>
      </x:c>
      <x:c r="AA23" s="43" t="str">
        <x:v>Sem e-mail</x:v>
      </x:c>
      <x:c r="AB23" s="43" t="str">
        <x:v>Não</x:v>
      </x:c>
      <x:c r="AC23" s="44"/>
      <x:c r="AD23" s="44"/>
      <x:c r="AE23" s="44"/>
      <x:c r="AF23" s="44"/>
      <x:c r="AG23" s="43"/>
      <x:c r="AH23" s="43"/>
      <x:c r="AI23" s="43" t="str">
        <x:v>Não</x:v>
      </x:c>
      <x:c r="AJ23" s="43"/>
      <x:c r="AK23" s="43"/>
      <x:c r="AL23" s="43" t="str">
        <x:v>https://perfildaindustria.portaldaindustria.com.br/estado/tudo/mg | https://ibram.org.br/</x:v>
      </x:c>
      <x:c r="AM23" s="43" t="str">
        <x:v>Não localizado em fonte pública confiável até 24/07/2026</x:v>
      </x:c>
      <x:c r="AN23" s="43" t="str">
        <x:v>Pesquise a empresa Vedam Vedações, de Betim/MG,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3" s="43" t="str">
        <x:v>2026-07-24 v1</x:v>
      </x:c>
    </x:row>
    <x:row r="24" ht="72" customHeight="1">
      <x:c r="A24" s="43" t="n">
        <x:v>23</x:v>
      </x:c>
      <x:c r="B24" s="43" t="str">
        <x:v>Vedaminas BH</x:v>
      </x:c>
      <x:c r="C24" s="43" t="str">
        <x:v>Distribuidora</x:v>
      </x:c>
      <x:c r="D24" s="43" t="str">
        <x:v>Contagem</x:v>
      </x:c>
      <x:c r="E24" s="43" t="str">
        <x:v>MG</x:v>
      </x:c>
      <x:c r="F24" s="43" t="str">
        <x:v>Sudeste</x:v>
      </x:c>
      <x:c r="G24" s="43" t="str">
        <x:v>A - Alta</x:v>
      </x:c>
      <x:c r="H24" s="43" t="str">
        <x:v>Não contatado</x:v>
      </x:c>
      <x:c r="I24" s="43" t="str">
        <x:v>comercial@vedaminasbh.com</x:v>
      </x:c>
      <x:c r="J24" s="43" t="str">
        <x:v>https://vedaminasbh.com.br/</x:v>
      </x:c>
      <x:c r="K24" s="43" t="str">
        <x:v>Sim</x:v>
      </x:c>
      <x:c r="L24" s="43" t="str">
        <x:v>distribuidor de componentes industriais</x:v>
      </x:c>
      <x:c r="M24" s="43" t="str">
        <x:v>metalurgia, automotivo, mineração e manutenção de máquinas</x:v>
      </x:c>
      <x:c r="N24" s="43" t="str">
        <x:v>reposições industriais, itens fora de linha, medidas especiais e demandas de manutenção</x:v>
      </x:c>
      <x:c r="O24" s="43" t="str">
        <x:v>vedações e componentes sob medida em PTFE, PU, NBR, FKM e materiais técnicos</x:v>
      </x:c>
      <x:c r="P24" s="43" t="str">
        <x:v>complementar o portfólio sem necessidade de estoque amplo, produzindo por desenho ou amostra</x:v>
      </x:c>
      <x:c r="Q24" s="43" t="str">
        <x:v>Segmento da base: Distribuidora; localização: Contagem/MG; contexto industrial regional usado apenas como hipótese comercial. Domínio do e-mail coincide com a fonte oficial. Nenhuma afirmação sobre clientes ou aplicações específicas da empresa foi feita sem fonte.</x:v>
      </x:c>
      <x:c r="R24" s="43" t="str">
        <x:v>Alta</x:v>
      </x:c>
      <x:c r="S24" s="43" t="str">
        <x:v>Recomendada</x:v>
      </x:c>
      <x:c r="T24" s="43" t="str">
        <x:v>Demandas fora de catálogo na Vedaminas BH</x:v>
      </x:c>
      <x:c r="U24" s="43" t="str">
        <x:v>Olá, equipe da Vedaminas BH,</x:v>
      </x:c>
      <x:c r="V24" s="43" t="str">
        <x:v>Olá, equipe da Vedaminas BH,
Gostaria de apresentar uma possibilidade de apoio complementar à Vedaminas BH para peças especiais, urgências e reposições fora de catálogo.
Em Contagem/MG, cadeias como metalurgia, automotivo, mineração e manutenção de máquinas costumam gerar solicitações de vedações especiais, principalmente quando há pressão, desgaste, ataque químico, temperatura ou dificuldade de reposição. Para o perfil de distribuidor de componentes industriais, vemos maior aderência em reposições industriais, itens fora de linha, medidas especiais e demandas de manutenção.
A Parts Seals pode apoiar com vedações e componentes sob medida em PTFE, PU, NBR, FKM e materiais técnicos. A seleção final do material é validada conforme a aplicação; para as demandas mais comuns da região, vale avaliar especialmente PU, NBR, PTFE carregado e FKM. Nosso objetivo é complementar o portfólio sem necessidade de estoque amplo, produzindo por desenho ou amostra.
Há famílias de vedações que seus clientes solicitam, mas que hoje ficam fora do portfólio por baixa recorrência?
Posso encaminhar uma apresentação curta ou avaliar um item real, sem compromisso?
Atenciosamente,
{{NOME_REMETENTE}}
Parts Seals Vedações Industriais
{{TELEFONE_REMETENTE}} | {{SITE_REMETENTE}}</x:v>
      </x:c>
      <x:c r="W24" s="43" t="str">
        <x:v>Olá, equipe da Vedaminas BH,
Retomando meu contato: pelo perfil de distribuidora de vocês, acredito que podemos apoiar principalmente em reposições industriais, itens fora de linha, medidas especiais e demandas de manutenção.
Se tiverem uma medida, desenho ou foto de um item difícil de localizar, podemos fazer uma análise inicial e indicar o material mais adequado. Há algum caso em aberto que possamos avaliar?
Atenciosamente,
{{NOME_REMETENTE}}
Parts Seals Vedações Industriais</x:v>
      </x:c>
      <x:c r="X24" s="43" t="str">
        <x:v>Olá, equipe da Vedaminas BH,
Encerrando meu contato para não insistir. Caso surja alguma demanda de reposições industriais, itens fora de linha, medidas especiais e demandas de manutenção,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4" s="43" t="str">
        <x:v>Há famílias de vedações que seus clientes solicitam, mas que hoje ficam fora do portfólio por baixa recorrência?</x:v>
      </x:c>
      <x:c r="Z24" s="43" t="str">
        <x:v>Este contato foi direcionado a um canal corporativo público por possível aderência entre as atividades das empresas. Para não receber novas mensagens da Parts Seals, responda com REMOVER.</x:v>
      </x:c>
      <x:c r="AA24" s="43" t="str">
        <x:v>Aguardando aprovação</x:v>
      </x:c>
      <x:c r="AB24" s="43" t="str">
        <x:v>Não</x:v>
      </x:c>
      <x:c r="AC24" s="44"/>
      <x:c r="AD24" s="44"/>
      <x:c r="AE24" s="44"/>
      <x:c r="AF24" s="44"/>
      <x:c r="AG24" s="43"/>
      <x:c r="AH24" s="43"/>
      <x:c r="AI24" s="43" t="str">
        <x:v>Não</x:v>
      </x:c>
      <x:c r="AJ24" s="43"/>
      <x:c r="AK24" s="43"/>
      <x:c r="AL24" s="43" t="str">
        <x:v>https://perfildaindustria.portaldaindustria.com.br/estado/tudo/mg | https://ibram.org.br/</x:v>
      </x:c>
      <x:c r="AM24" s="43" t="str">
        <x:v>https://vedaminasbh.com.br/</x:v>
      </x:c>
      <x:c r="AN24" s="43" t="str">
        <x:v>Pesquise a empresa Vedaminas BH, de Contagem/MG,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4" s="43" t="str">
        <x:v>2026-07-24 v1</x:v>
      </x:c>
    </x:row>
    <x:row r="25" ht="72" customHeight="1">
      <x:c r="A25" s="43" t="n">
        <x:v>24</x:v>
      </x:c>
      <x:c r="B25" s="43" t="str">
        <x:v>Mundial Vedações Hidráulicas</x:v>
      </x:c>
      <x:c r="C25" s="43" t="str">
        <x:v>Hidráulica/Vedações</x:v>
      </x:c>
      <x:c r="D25" s="43" t="str">
        <x:v>Divinópolis</x:v>
      </x:c>
      <x:c r="E25" s="43" t="str">
        <x:v>MG</x:v>
      </x:c>
      <x:c r="F25" s="43" t="str">
        <x:v>Sudeste</x:v>
      </x:c>
      <x:c r="G25" s="43" t="str">
        <x:v>B - Média</x:v>
      </x:c>
      <x:c r="H25" s="43" t="str">
        <x:v>Não contatado</x:v>
      </x:c>
      <x:c r="I25" s="43"/>
      <x:c r="J25" s="43" t="str">
        <x:v>Não localizado em fonte pública confiável até 24/07/2026</x:v>
      </x:c>
      <x:c r="K25" s="43" t="str">
        <x:v>Não</x:v>
      </x:c>
      <x:c r="L25" s="43" t="str">
        <x:v>fornecedor de componentes hidráulicos e vedações</x:v>
      </x:c>
      <x:c r="M25" s="43" t="str">
        <x:v>metalurgia, fundição, mineração e manutenção industrial</x:v>
      </x:c>
      <x:c r="N25" s="43" t="str">
        <x:v>gaxetas de haste e pistão, raspadores, anéis guia, vedações rotativas e kits para cilindros hidráulicos</x:v>
      </x:c>
      <x:c r="O25" s="43" t="str">
        <x:v>vedações em PU, PTFE puro ou carregado, NBR e FKM, dimensionadas conforme pressão, velocidade, fluido e temperatura</x:v>
      </x:c>
      <x:c r="P25" s="43" t="str">
        <x:v>apoiar reformas e montagens com peças não padronizadas, reposições antigas e fabricação rápida por amostra ou desenho</x:v>
      </x:c>
      <x:c r="Q25" s="43" t="str">
        <x:v>Segmento da base: Hidráulica/Vedações; localização: Divinópolis/MG; contexto industrial regional usado apenas como hipótese comercial. Sem e-mail público localizado. Nenhuma afirmação sobre clientes ou aplicações específicas da empresa foi feita sem fonte.</x:v>
      </x:c>
      <x:c r="R25" s="43" t="str">
        <x:v>Baixa</x:v>
      </x:c>
      <x:c r="S25" s="43" t="str">
        <x:v>Sim</x:v>
      </x:c>
      <x:c r="T25" s="43" t="str">
        <x:v>Vedações hidráulicas especiais para a Mundial Vedações Hidráulicas</x:v>
      </x:c>
      <x:c r="U25" s="43" t="str">
        <x:v>Olá, equipe da Mundial Vedações Hidráulicas,</x:v>
      </x:c>
      <x:c r="V25" s="43" t="str">
        <x:v>Olá, equipe da Mundial Vedações Hidráulicas,
Estou entrando em contato porque a atuação da Mundial Vedações Hidráulicas em hidráulica/vedações tem boa aderência ao tipo de fabricação especial que realizamos na Parts Seals.
Em Divinópolis/MG, cadeias como metalurgia, fundição, mineração e manutenção industrial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PU, NBR e PTFE carregado.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25" s="43" t="str">
        <x:v>Olá, equipe da Mundial Vedações Hidráulicas,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25" s="43" t="str">
        <x:v>Olá, equipe da Mundial Vedações Hidráulicas,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5" s="43" t="str">
        <x:v>Há cilindros ou equipamentos para os quais vocês têm dificuldade de localizar a vedação correta ou cumprir o prazo do cliente?</x:v>
      </x:c>
      <x:c r="Z25" s="43" t="str">
        <x:v>Este contato foi direcionado a um canal corporativo público por possível aderência entre as atividades das empresas. Para não receber novas mensagens da Parts Seals, responda com REMOVER.</x:v>
      </x:c>
      <x:c r="AA25" s="43" t="str">
        <x:v>Sem e-mail</x:v>
      </x:c>
      <x:c r="AB25" s="43" t="str">
        <x:v>Não</x:v>
      </x:c>
      <x:c r="AC25" s="44"/>
      <x:c r="AD25" s="44"/>
      <x:c r="AE25" s="44"/>
      <x:c r="AF25" s="44"/>
      <x:c r="AG25" s="43"/>
      <x:c r="AH25" s="43"/>
      <x:c r="AI25" s="43" t="str">
        <x:v>Não</x:v>
      </x:c>
      <x:c r="AJ25" s="43"/>
      <x:c r="AK25" s="43"/>
      <x:c r="AL25" s="43" t="str">
        <x:v>https://perfildaindustria.portaldaindustria.com.br/estado/tudo/mg | https://ibram.org.br/</x:v>
      </x:c>
      <x:c r="AM25" s="43" t="str">
        <x:v>Não localizado em fonte pública confiável até 24/07/2026</x:v>
      </x:c>
      <x:c r="AN25" s="43" t="str">
        <x:v>Pesquise a empresa Mundial Vedações Hidráulicas, de Divinópolis/MG,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5" s="43" t="str">
        <x:v>2026-07-24 v1</x:v>
      </x:c>
    </x:row>
    <x:row r="26" ht="72" customHeight="1">
      <x:c r="A26" s="43" t="n">
        <x:v>25</x:v>
      </x:c>
      <x:c r="B26" s="43" t="str">
        <x:v>Vedamaq Vedações para Máquinas</x:v>
      </x:c>
      <x:c r="C26" s="43" t="str">
        <x:v>Vedações</x:v>
      </x:c>
      <x:c r="D26" s="43" t="str">
        <x:v>Uberlândia</x:v>
      </x:c>
      <x:c r="E26" s="43" t="str">
        <x:v>MG</x:v>
      </x:c>
      <x:c r="F26" s="43" t="str">
        <x:v>Sudeste</x:v>
      </x:c>
      <x:c r="G26" s="43" t="str">
        <x:v>B - Média</x:v>
      </x:c>
      <x:c r="H26" s="43" t="str">
        <x:v>Não contatado</x:v>
      </x:c>
      <x:c r="I26" s="43"/>
      <x:c r="J26" s="43" t="str">
        <x:v>Não localizado em fonte pública confiável até 24/07/2026</x:v>
      </x:c>
      <x:c r="K26" s="43" t="str">
        <x:v>Não</x:v>
      </x:c>
      <x:c r="L26" s="43" t="str">
        <x:v>especialista ou revenda de vedações industriais</x:v>
      </x:c>
      <x:c r="M26" s="43" t="str">
        <x:v>agroindústria, alimentos, logística e manutenção de equipamentos</x:v>
      </x:c>
      <x:c r="N26" s="43" t="str">
        <x:v>gaxetas, raspadores, anéis guia, vedações de haste e pistão, retentores especiais e reposições fora de linha</x:v>
      </x:c>
      <x:c r="O26" s="43" t="str">
        <x:v>peças sob medida em PTFE puro ou carregado, poliuretano, NBR, FKM, nylon e outros materiais técnicos</x:v>
      </x:c>
      <x:c r="P26" s="43" t="str">
        <x:v>complementar o portfólio com itens especiais, pequenas e médias séries, urgências e fabricação por desenho ou amostra</x:v>
      </x:c>
      <x:c r="Q26" s="43" t="str">
        <x:v>Segmento da base: Vedações; localização: Uberlândia/MG; contexto industrial regional usado apenas como hipótese comercial. Sem e-mail público localizado. Nenhuma afirmação sobre clientes ou aplicações específicas da empresa foi feita sem fonte.</x:v>
      </x:c>
      <x:c r="R26" s="43" t="str">
        <x:v>Baixa</x:v>
      </x:c>
      <x:c r="S26" s="43" t="str">
        <x:v>Sim</x:v>
      </x:c>
      <x:c r="T26" s="43" t="str">
        <x:v>Possível parceria técnica — Vedamaq Vedações para Máquinas e Parts Seals</x:v>
      </x:c>
      <x:c r="U26" s="43" t="str">
        <x:v>Olá, equipe da Vedamaq Vedações para Máquinas,</x:v>
      </x:c>
      <x:c r="V26" s="43" t="str">
        <x:v>Olá, equipe da Vedamaq Vedações para Máquinas,
Ao analisar o perfil da Vedamaq Vedações para Máquinas em Uberlândia, identifiquei uma possibilidade de parceria para demandas de vedação que não se encaixam bem em linhas padronizadas.
Em Uberlândia/MG, cadeias como agroindústria, alimentos, logística e manutenção de equipamentos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6" s="43" t="str">
        <x:v>Olá, equipe da Vedamaq Vedações para Máquinas,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6" s="43" t="str">
        <x:v>Olá, equipe da Vedamaq Vedações para Máquinas,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6" s="43" t="str">
        <x:v>Vocês recebem consultas de peças especiais que acabam sem atendimento por prazo, material, quantidade ou ausência de desenho?</x:v>
      </x:c>
      <x:c r="Z26" s="43" t="str">
        <x:v>Este contato foi direcionado a um canal corporativo público por possível aderência entre as atividades das empresas. Para não receber novas mensagens da Parts Seals, responda com REMOVER.</x:v>
      </x:c>
      <x:c r="AA26" s="43" t="str">
        <x:v>Sem e-mail</x:v>
      </x:c>
      <x:c r="AB26" s="43" t="str">
        <x:v>Não</x:v>
      </x:c>
      <x:c r="AC26" s="44"/>
      <x:c r="AD26" s="44"/>
      <x:c r="AE26" s="44"/>
      <x:c r="AF26" s="44"/>
      <x:c r="AG26" s="43"/>
      <x:c r="AH26" s="43"/>
      <x:c r="AI26" s="43" t="str">
        <x:v>Não</x:v>
      </x:c>
      <x:c r="AJ26" s="43"/>
      <x:c r="AK26" s="43"/>
      <x:c r="AL26" s="43" t="str">
        <x:v>https://perfildaindustria.portaldaindustria.com.br/estado/tudo/mg | https://ibram.org.br/</x:v>
      </x:c>
      <x:c r="AM26" s="43" t="str">
        <x:v>Não localizado em fonte pública confiável até 24/07/2026</x:v>
      </x:c>
      <x:c r="AN26" s="43" t="str">
        <x:v>Pesquise a empresa Vedamaq Vedações para Máquinas, de Uberlândia/MG,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6" s="43" t="str">
        <x:v>2026-07-24 v1</x:v>
      </x:c>
    </x:row>
    <x:row r="27" ht="72" customHeight="1">
      <x:c r="A27" s="43" t="n">
        <x:v>26</x:v>
      </x:c>
      <x:c r="B27" s="43" t="str">
        <x:v>Vedamex Soluções em Vedação</x:v>
      </x:c>
      <x:c r="C27" s="43" t="str">
        <x:v>Vedações</x:v>
      </x:c>
      <x:c r="D27" s="43" t="str">
        <x:v>Uberlândia</x:v>
      </x:c>
      <x:c r="E27" s="43" t="str">
        <x:v>MG</x:v>
      </x:c>
      <x:c r="F27" s="43" t="str">
        <x:v>Sudeste</x:v>
      </x:c>
      <x:c r="G27" s="43" t="str">
        <x:v>C - Baixa</x:v>
      </x:c>
      <x:c r="H27" s="43" t="str">
        <x:v>Não contatado</x:v>
      </x:c>
      <x:c r="I27" s="43"/>
      <x:c r="J27" s="43" t="str">
        <x:v>Não localizado em fonte pública confiável até 24/07/2026</x:v>
      </x:c>
      <x:c r="K27" s="43" t="str">
        <x:v>Não</x:v>
      </x:c>
      <x:c r="L27" s="43" t="str">
        <x:v>especialista ou revenda de vedações industriais</x:v>
      </x:c>
      <x:c r="M27" s="43" t="str">
        <x:v>agroindústria, alimentos, logística e manutenção de equipamentos</x:v>
      </x:c>
      <x:c r="N27" s="43" t="str">
        <x:v>gaxetas, raspadores, anéis guia, vedações de haste e pistão, retentores especiais e reposições fora de linha</x:v>
      </x:c>
      <x:c r="O27" s="43" t="str">
        <x:v>peças sob medida em PTFE puro ou carregado, poliuretano, NBR, FKM, nylon e outros materiais técnicos</x:v>
      </x:c>
      <x:c r="P27" s="43" t="str">
        <x:v>complementar o portfólio com itens especiais, pequenas e médias séries, urgências e fabricação por desenho ou amostra</x:v>
      </x:c>
      <x:c r="Q27" s="43" t="str">
        <x:v>Segmento da base: Vedações; localização: Uberlândia/MG; contexto industrial regional usado apenas como hipótese comercial. Sem e-mail público localizado. Nenhuma afirmação sobre clientes ou aplicações específicas da empresa foi feita sem fonte.</x:v>
      </x:c>
      <x:c r="R27" s="43" t="str">
        <x:v>Baixa</x:v>
      </x:c>
      <x:c r="S27" s="43" t="str">
        <x:v>Sim</x:v>
      </x:c>
      <x:c r="T27" s="43" t="str">
        <x:v>Apoio em vedações sob medida para a Vedamex Soluções em Vedação</x:v>
      </x:c>
      <x:c r="U27" s="43" t="str">
        <x:v>Olá, equipe da Vedamex Soluções em Vedação,</x:v>
      </x:c>
      <x:c r="V27" s="43" t="str">
        <x:v>Olá, equipe da Vedamex Soluções em Vedação,
A Parts Seals está ampliando parcerias com empresas técnicas do setor, e o perfil da Vedamex Soluções em Vedação chamou nossa atenção pela atuação em vedações.
Em Uberlândia/MG, cadeias como agroindústria, alimentos, logística e manutenção de equipamentos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7" s="43" t="str">
        <x:v>Olá, equipe da Vedamex Soluções em Vedação,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7" s="43" t="str">
        <x:v>Olá, equipe da Vedamex Soluções em Vedação,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7" s="43" t="str">
        <x:v>Vocês recebem consultas de peças especiais que acabam sem atendimento por prazo, material, quantidade ou ausência de desenho?</x:v>
      </x:c>
      <x:c r="Z27" s="43" t="str">
        <x:v>Este contato foi direcionado a um canal corporativo público por possível aderência entre as atividades das empresas. Para não receber novas mensagens da Parts Seals, responda com REMOVER.</x:v>
      </x:c>
      <x:c r="AA27" s="43" t="str">
        <x:v>Sem e-mail</x:v>
      </x:c>
      <x:c r="AB27" s="43" t="str">
        <x:v>Não</x:v>
      </x:c>
      <x:c r="AC27" s="44"/>
      <x:c r="AD27" s="44"/>
      <x:c r="AE27" s="44"/>
      <x:c r="AF27" s="44"/>
      <x:c r="AG27" s="43"/>
      <x:c r="AH27" s="43"/>
      <x:c r="AI27" s="43" t="str">
        <x:v>Não</x:v>
      </x:c>
      <x:c r="AJ27" s="43"/>
      <x:c r="AK27" s="43"/>
      <x:c r="AL27" s="43" t="str">
        <x:v>https://perfildaindustria.portaldaindustria.com.br/estado/tudo/mg | https://ibram.org.br/</x:v>
      </x:c>
      <x:c r="AM27" s="43" t="str">
        <x:v>Não localizado em fonte pública confiável até 24/07/2026</x:v>
      </x:c>
      <x:c r="AN27" s="43" t="str">
        <x:v>Pesquise a empresa Vedamex Soluções em Vedação, de Uberlândia/MG,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7" s="43" t="str">
        <x:v>2026-07-24 v1</x:v>
      </x:c>
    </x:row>
    <x:row r="28" ht="72" customHeight="1">
      <x:c r="A28" s="43" t="n">
        <x:v>27</x:v>
      </x:c>
      <x:c r="B28" s="43" t="str">
        <x:v>Vedamac Comércio de Vedações Industriais</x:v>
      </x:c>
      <x:c r="C28" s="43" t="str">
        <x:v>Vedações</x:v>
      </x:c>
      <x:c r="D28" s="43" t="str">
        <x:v>Duque de Caxias</x:v>
      </x:c>
      <x:c r="E28" s="43" t="str">
        <x:v>RJ</x:v>
      </x:c>
      <x:c r="F28" s="43" t="str">
        <x:v>Sudeste</x:v>
      </x:c>
      <x:c r="G28" s="43" t="str">
        <x:v>B - Média</x:v>
      </x:c>
      <x:c r="H28" s="43" t="str">
        <x:v>Não contatado</x:v>
      </x:c>
      <x:c r="I28" s="43"/>
      <x:c r="J28" s="43" t="str">
        <x:v>Não localizado em fonte pública confiável até 24/07/2026</x:v>
      </x:c>
      <x:c r="K28" s="43" t="str">
        <x:v>Não</x:v>
      </x:c>
      <x:c r="L28" s="43" t="str">
        <x:v>especialista ou revenda de vedações industriais</x:v>
      </x:c>
      <x:c r="M28" s="43" t="str">
        <x:v>refino, petroquímica, logística e manutenção industrial</x:v>
      </x:c>
      <x:c r="N28" s="43" t="str">
        <x:v>gaxetas, raspadores, anéis guia, vedações de haste e pistão, retentores especiais e reposições fora de linha</x:v>
      </x:c>
      <x:c r="O28" s="43" t="str">
        <x:v>peças sob medida em PTFE puro ou carregado, poliuretano, NBR, FKM, nylon e outros materiais técnicos</x:v>
      </x:c>
      <x:c r="P28" s="43" t="str">
        <x:v>complementar o portfólio com itens especiais, pequenas e médias séries, urgências e fabricação por desenho ou amostra</x:v>
      </x:c>
      <x:c r="Q28" s="43" t="str">
        <x:v>Segmento da base: Vedações; localização: Duque de Caxias/RJ; contexto industrial regional usado apenas como hipótese comercial. Sem e-mail público localizado. Nenhuma afirmação sobre clientes ou aplicações específicas da empresa foi feita sem fonte.</x:v>
      </x:c>
      <x:c r="R28" s="43" t="str">
        <x:v>Baixa</x:v>
      </x:c>
      <x:c r="S28" s="43" t="str">
        <x:v>Sim</x:v>
      </x:c>
      <x:c r="T28" s="43" t="str">
        <x:v>Demandas fora de catálogo na Vedamac Comércio de Vedações Industriais</x:v>
      </x:c>
      <x:c r="U28" s="43" t="str">
        <x:v>Olá, equipe da Vedamac Comércio de Vedações Industriais,</x:v>
      </x:c>
      <x:c r="V28" s="43" t="str">
        <x:v>Olá, equipe da Vedamac Comércio de Vedações Industriais,
Gostaria de apresentar uma possibilidade de apoio complementar à Vedamac Comércio de Vedações Industriais para peças especiais, urgências e reposições fora de catálogo.
Em Duque de Caxias/RJ, cadeias como refino, petroquímica, logística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FKM e NBR.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8" s="43" t="str">
        <x:v>Olá, equipe da Vedamac Comércio de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8" s="43" t="str">
        <x:v>Olá, equipe da Vedamac Comércio de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8" s="43" t="str">
        <x:v>Vocês recebem consultas de peças especiais que acabam sem atendimento por prazo, material, quantidade ou ausência de desenho?</x:v>
      </x:c>
      <x:c r="Z28" s="43" t="str">
        <x:v>Este contato foi direcionado a um canal corporativo público por possível aderência entre as atividades das empresas. Para não receber novas mensagens da Parts Seals, responda com REMOVER.</x:v>
      </x:c>
      <x:c r="AA28" s="43" t="str">
        <x:v>Sem e-mail</x:v>
      </x:c>
      <x:c r="AB28" s="43" t="str">
        <x:v>Não</x:v>
      </x:c>
      <x:c r="AC28" s="44"/>
      <x:c r="AD28" s="44"/>
      <x:c r="AE28" s="44"/>
      <x:c r="AF28" s="44"/>
      <x:c r="AG28" s="43"/>
      <x:c r="AH28" s="43"/>
      <x:c r="AI28" s="43" t="str">
        <x:v>Não</x:v>
      </x:c>
      <x:c r="AJ28" s="43"/>
      <x:c r="AK28" s="43"/>
      <x:c r="AL28" s="43" t="str">
        <x:v>https://perfildaindustria.portaldaindustria.com.br/estado/tudo/rj | https://www.gov.br/anp/pt-br/centrais-de-conteudo/paineis-dinamicos-da-anp/paineis-dinamicos-sobre-exploracao-e-producao-de-petroleo-e-gas/painel-de-pocos-na-fase-de-producao</x:v>
      </x:c>
      <x:c r="AM28" s="43" t="str">
        <x:v>Não localizado em fonte pública confiável até 24/07/2026</x:v>
      </x:c>
      <x:c r="AN28" s="43" t="str">
        <x:v>Pesquise a empresa Vedamac Comércio de Vedações Industriais, de Duque de Caxias/RJ,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8" s="43" t="str">
        <x:v>2026-07-24 v1</x:v>
      </x:c>
    </x:row>
    <x:row r="29" ht="72" customHeight="1">
      <x:c r="A29" s="43" t="n">
        <x:v>28</x:v>
      </x:c>
      <x:c r="B29" s="43" t="str">
        <x:v>Costa Vedações e Acessórios Hidráulicos</x:v>
      </x:c>
      <x:c r="C29" s="43" t="str">
        <x:v>Hidráulica/Vedações</x:v>
      </x:c>
      <x:c r="D29" s="43" t="str">
        <x:v>Macaé</x:v>
      </x:c>
      <x:c r="E29" s="43" t="str">
        <x:v>RJ</x:v>
      </x:c>
      <x:c r="F29" s="43" t="str">
        <x:v>Sudeste</x:v>
      </x:c>
      <x:c r="G29" s="43" t="str">
        <x:v>A - Alta</x:v>
      </x:c>
      <x:c r="H29" s="43" t="str">
        <x:v>Não contatado</x:v>
      </x:c>
      <x:c r="I29" s="43" t="str">
        <x:v>costavedacoes@gmail.com</x:v>
      </x:c>
      <x:c r="J29" s="43" t="str">
        <x:v>https://cnpjcheck.com.br/empresa/costa-vedacoes-e-acessorios-hidraulicos-e-pneumaticos-ltda-costa-vedacoes-18652095000193</x:v>
      </x:c>
      <x:c r="K29" s="43" t="str">
        <x:v>Sim</x:v>
      </x:c>
      <x:c r="L29" s="43" t="str">
        <x:v>fornecedor de componentes hidráulicos e vedações</x:v>
      </x:c>
      <x:c r="M29" s="43" t="str">
        <x:v>óleo e gás, offshore e manutenção de equipamentos críticos</x:v>
      </x:c>
      <x:c r="N29" s="43" t="str">
        <x:v>gaxetas de haste e pistão, raspadores, anéis guia, vedações rotativas e kits para cilindros hidráulicos</x:v>
      </x:c>
      <x:c r="O29" s="43" t="str">
        <x:v>vedações em PU, PTFE puro ou carregado, NBR e FKM, dimensionadas conforme pressão, velocidade, fluido e temperatura</x:v>
      </x:c>
      <x:c r="P29" s="43" t="str">
        <x:v>apoiar reformas e montagens com peças não padronizadas, reposições antigas e fabricação rápida por amostra ou desenho</x:v>
      </x:c>
      <x:c r="Q29" s="43" t="str">
        <x:v>Segmento da base: Hidráulica/Vedações; localização: Macaé/RJ; contexto industrial regional usado apenas como hipótese comercial. Fonte pública associada à empresa. Nenhuma afirmação sobre clientes ou aplicações específicas da empresa foi feita sem fonte.</x:v>
      </x:c>
      <x:c r="R29" s="43" t="str">
        <x:v>Moderada</x:v>
      </x:c>
      <x:c r="S29" s="43" t="str">
        <x:v>Sim</x:v>
      </x:c>
      <x:c r="T29" s="43" t="str">
        <x:v>Vedações hidráulicas especiais para a Costa Vedações e Acessórios Hidráulicos</x:v>
      </x:c>
      <x:c r="U29" s="43" t="str">
        <x:v>Olá, equipe da Costa Vedações e Acessórios Hidráulicos,</x:v>
      </x:c>
      <x:c r="V29" s="43" t="str">
        <x:v>Olá, equipe da Costa Vedações e Acessórios Hidráulicos,
Estou entrando em contato porque a atuação da Costa Vedações e Acessórios Hidráulicos em hidráulica/vedações tem boa aderência ao tipo de fabricação especial que realizamos na Parts Seals.
Em Macaé/RJ, cadeias como óleo e gás, offshore e manutenção de equipamentos críticos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PTFE puro ou carregado, FKM e PU.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29" s="43" t="str">
        <x:v>Olá, equipe da Costa Vedações e Acessórios Hidráulicos,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29" s="43" t="str">
        <x:v>Olá, equipe da Costa Vedações e Acessórios Hidráulicos,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9" s="43" t="str">
        <x:v>Há cilindros ou equipamentos para os quais vocês têm dificuldade de localizar a vedação correta ou cumprir o prazo do cliente?</x:v>
      </x:c>
      <x:c r="Z29" s="43" t="str">
        <x:v>Este contato foi direcionado a um canal corporativo público por possível aderência entre as atividades das empresas. Para não receber novas mensagens da Parts Seals, responda com REMOVER.</x:v>
      </x:c>
      <x:c r="AA29" s="43" t="str">
        <x:v>Aguardando aprovação</x:v>
      </x:c>
      <x:c r="AB29" s="43" t="str">
        <x:v>Não</x:v>
      </x:c>
      <x:c r="AC29" s="44"/>
      <x:c r="AD29" s="44"/>
      <x:c r="AE29" s="44"/>
      <x:c r="AF29" s="44"/>
      <x:c r="AG29" s="43"/>
      <x:c r="AH29" s="43"/>
      <x:c r="AI29" s="43" t="str">
        <x:v>Não</x:v>
      </x:c>
      <x:c r="AJ29" s="43"/>
      <x:c r="AK29" s="43"/>
      <x:c r="AL29" s="43" t="str">
        <x:v>https://perfildaindustria.portaldaindustria.com.br/estado/tudo/rj | https://www.gov.br/anp/pt-br/centrais-de-conteudo/paineis-dinamicos-da-anp/paineis-dinamicos-sobre-exploracao-e-producao-de-petroleo-e-gas/painel-de-pocos-na-fase-de-producao</x:v>
      </x:c>
      <x:c r="AM29" s="43" t="str">
        <x:v>https://cnpjcheck.com.br/empresa/costa-vedacoes-e-acessorios-hidraulicos-e-pneumaticos-ltda-costa-vedacoes-18652095000193</x:v>
      </x:c>
      <x:c r="AN29" s="43" t="str">
        <x:v>Pesquise a empresa Costa Vedações e Acessórios Hidráulicos, de Macaé/RJ,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9" s="43" t="str">
        <x:v>2026-07-24 v1</x:v>
      </x:c>
    </x:row>
    <x:row r="30" ht="72" customHeight="1">
      <x:c r="A30" s="43" t="n">
        <x:v>29</x:v>
      </x:c>
      <x:c r="B30" s="43" t="str">
        <x:v>Petrotec Offshore</x:v>
      </x:c>
      <x:c r="C30" s="43" t="str">
        <x:v>Vedações Offshore</x:v>
      </x:c>
      <x:c r="D30" s="43" t="str">
        <x:v>Macaé</x:v>
      </x:c>
      <x:c r="E30" s="43" t="str">
        <x:v>RJ</x:v>
      </x:c>
      <x:c r="F30" s="43" t="str">
        <x:v>Sudeste</x:v>
      </x:c>
      <x:c r="G30" s="43" t="str">
        <x:v>C - Baixa</x:v>
      </x:c>
      <x:c r="H30" s="43" t="str">
        <x:v>Não contatado</x:v>
      </x:c>
      <x:c r="I30" s="43" t="str">
        <x:v>petrotec@petrotecoffshore.com</x:v>
      </x:c>
      <x:c r="J30" s="43" t="str">
        <x:v>https://petrotecoffshore.com/</x:v>
      </x:c>
      <x:c r="K30" s="43" t="str">
        <x:v>Sim</x:v>
      </x:c>
      <x:c r="L30" s="43" t="str">
        <x:v>fornecedor de vedações para aplicações offshore e de óleo e gás</x:v>
      </x:c>
      <x:c r="M30" s="43" t="str">
        <x:v>óleo e gás, offshore e manutenção de equipamentos críticos</x:v>
      </x:c>
      <x:c r="N30" s="43" t="str">
        <x:v>vedações para fluidos agressivos, pressão, temperatura, baixo atrito e ambientes de manutenção crítica</x:v>
      </x:c>
      <x:c r="O30" s="43" t="str">
        <x:v>componentes em PTFE puro ou carregado, FKM, PU e NBR, com material definido após análise da aplicação</x:v>
      </x:c>
      <x:c r="P30" s="43" t="str">
        <x:v>desenvolver peças especiais por desenho ou amostra e apoiar demandas críticas ou fora de catálogo</x:v>
      </x:c>
      <x:c r="Q30" s="43" t="str">
        <x:v>Segmento da base: Vedações Offshore; localização: Macaé/RJ; contexto industrial regional usado apenas como hipótese comercial. Domínio do e-mail coincide com a fonte oficial. Nenhuma afirmação sobre clientes ou aplicações específicas da empresa foi feita sem fonte.</x:v>
      </x:c>
      <x:c r="R30" s="43" t="str">
        <x:v>Alta</x:v>
      </x:c>
      <x:c r="S30" s="43" t="str">
        <x:v>Recomendada</x:v>
      </x:c>
      <x:c r="T30" s="43" t="str">
        <x:v>Apoio técnico em vedações críticas — Petrotec Offshore</x:v>
      </x:c>
      <x:c r="U30" s="43" t="str">
        <x:v>Olá, equipe da Petrotec Offshore,</x:v>
      </x:c>
      <x:c r="V30" s="43" t="str">
        <x:v>Olá, equipe da Petrotec Offshore,
Ao analisar o perfil da Petrotec Offshore em Macaé, identifiquei uma possibilidade de parceria para demandas de vedação que não se encaixam bem em linhas padronizadas.
Em Macaé/RJ, cadeias como óleo e gás, offshore e manutenção de equipamentos críticos costumam gerar solicitações de vedações especiais, principalmente quando há pressão, desgaste, ataque químico, temperatura ou dificuldade de reposição. Para o perfil de fornecedor de vedações para aplicações offshore e de óleo e gás, vemos maior aderência em vedações para fluidos agressivos, pressão, temperatura, baixo atrito e ambientes de manutenção crítica.
A Parts Seals pode apoiar com componentes em PTFE puro ou carregado, FKM, PU e NBR, com material definido após análise da aplicação. A seleção final do material é validada conforme a aplicação; para as demandas mais comuns da região, vale avaliar especialmente PTFE puro ou carregado, FKM e PU. Nosso objetivo é desenvolver peças especiais por desenho ou amostra e apoiar demandas críticas ou fora de catálogo.
Há alguma aplicação offshore ou de óleo e gás em que o prazo, a geometria ou o material da vedação esteja limitando o atendimento?
Posso encaminhar uma apresentação curta ou avaliar um item real, sem compromisso?
Atenciosamente,
{{NOME_REMETENTE}}
Parts Seals Vedações Industriais
{{TELEFONE_REMETENTE}} | {{SITE_REMETENTE}}</x:v>
      </x:c>
      <x:c r="W30" s="43" t="str">
        <x:v>Olá, equipe da Petrotec Offshore,
Retomando meu contato: pelo perfil de vedações offshore de vocês, acredito que podemos apoiar principalmente em vedações para fluidos agressivos, pressão, temperatura, baixo atrito e ambientes de manutenção crítica.
Se tiverem uma medida, desenho ou foto de um item difícil de localizar, podemos fazer uma análise inicial e indicar o material mais adequado. Há algum caso em aberto que possamos avaliar?
Atenciosamente,
{{NOME_REMETENTE}}
Parts Seals Vedações Industriais</x:v>
      </x:c>
      <x:c r="X30" s="43" t="str">
        <x:v>Olá, equipe da Petrotec Offshore,
Encerrando meu contato para não insistir. Caso surja alguma demanda de vedações para fluidos agressivos, pressão, temperatura, baixo atrito e ambientes de manutenção crítica,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30" s="43" t="str">
        <x:v>Há alguma aplicação offshore ou de óleo e gás em que o prazo, a geometria ou o material da vedação esteja limitando o atendimento?</x:v>
      </x:c>
      <x:c r="Z30" s="43" t="str">
        <x:v>Este contato foi direcionado a um canal corporativo público por possível aderência entre as atividades das empresas. Para não receber novas mensagens da Parts Seals, responda com REMOVER.</x:v>
      </x:c>
      <x:c r="AA30" s="43" t="str">
        <x:v>Aguardando aprovação</x:v>
      </x:c>
      <x:c r="AB30" s="43" t="str">
        <x:v>Não</x:v>
      </x:c>
      <x:c r="AC30" s="44"/>
      <x:c r="AD30" s="44"/>
      <x:c r="AE30" s="44"/>
      <x:c r="AF30" s="44"/>
      <x:c r="AG30" s="43"/>
      <x:c r="AH30" s="43"/>
      <x:c r="AI30" s="43" t="str">
        <x:v>Não</x:v>
      </x:c>
      <x:c r="AJ30" s="43"/>
      <x:c r="AK30" s="43"/>
      <x:c r="AL30" s="43" t="str">
        <x:v>https://perfildaindustria.portaldaindustria.com.br/estado/tudo/rj | https://www.gov.br/anp/pt-br/centrais-de-conteudo/paineis-dinamicos-da-anp/paineis-dinamicos-sobre-exploracao-e-producao-de-petroleo-e-gas/painel-de-pocos-na-fase-de-producao</x:v>
      </x:c>
      <x:c r="AM30" s="43" t="str">
        <x:v>https://petrotecoffshore.com/</x:v>
      </x:c>
      <x:c r="AN30" s="43" t="str">
        <x:v>Pesquise a empresa Petrotec Offshore, de Macaé/RJ,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30" s="43" t="str">
        <x:v>2026-07-24 v1</x:v>
      </x:c>
    </x:row>
    <x:row r="31" ht="72" customHeight="1">
      <x:c r="A31" s="43" t="n">
        <x:v>30</x:v>
      </x:c>
      <x:c r="B31" s="43" t="str">
        <x:v>Riotec Offshore Vedações Industriais</x:v>
      </x:c>
      <x:c r="C31" s="43" t="str">
        <x:v>Vedações Offshore</x:v>
      </x:c>
      <x:c r="D31" s="43" t="str">
        <x:v>Macaé</x:v>
      </x:c>
      <x:c r="E31" s="43" t="str">
        <x:v>RJ</x:v>
      </x:c>
      <x:c r="F31" s="43" t="str">
        <x:v>Sudeste</x:v>
      </x:c>
      <x:c r="G31" s="43" t="str">
        <x:v>A - Alta</x:v>
      </x:c>
      <x:c r="H31" s="43" t="str">
        <x:v>Não contatado</x:v>
      </x:c>
      <x:c r="I31" s="43" t="str">
        <x:v>comercial@riotecoffshore.com.br</x:v>
      </x:c>
      <x:c r="J31" s="43" t="str">
        <x:v>https://www.riotecoffshore.com.br/</x:v>
      </x:c>
      <x:c r="K31" s="43" t="str">
        <x:v>Sim</x:v>
      </x:c>
      <x:c r="L31" s="43" t="str">
        <x:v>fornecedor de vedações para aplicações offshore e de óleo e gás</x:v>
      </x:c>
      <x:c r="M31" s="43" t="str">
        <x:v>óleo e gás, offshore e manutenção de equipamentos críticos</x:v>
      </x:c>
      <x:c r="N31" s="43" t="str">
        <x:v>vedações para fluidos agressivos, pressão, temperatura, baixo atrito e ambientes de manutenção crítica</x:v>
      </x:c>
      <x:c r="O31" s="43" t="str">
        <x:v>componentes em PTFE puro ou carregado, FKM, PU e NBR, com material definido após análise da aplicação</x:v>
      </x:c>
      <x:c r="P31" s="43" t="str">
        <x:v>desenvolver peças especiais por desenho ou amostra e apoiar demandas críticas ou fora de catálogo</x:v>
      </x:c>
      <x:c r="Q31" s="43" t="str">
        <x:v>Segmento da base: Vedações Offshore; localização: Macaé/RJ; contexto industrial regional usado apenas como hipótese comercial. Domínio do e-mail coincide com a fonte oficial. Nenhuma afirmação sobre clientes ou aplicações específicas da empresa foi feita sem fonte.</x:v>
      </x:c>
      <x:c r="R31" s="43" t="str">
        <x:v>Alta</x:v>
      </x:c>
      <x:c r="S31" s="43" t="str">
        <x:v>Recomendada</x:v>
      </x:c>
      <x:c r="T31" s="43" t="str">
        <x:v>Peças fora de catálogo para óleo e gás</x:v>
      </x:c>
      <x:c r="U31" s="43" t="str">
        <x:v>Olá, equipe da Riotec Offshore Vedações Industriais,</x:v>
      </x:c>
      <x:c r="V31" s="43" t="str">
        <x:v>Olá, equipe da Riotec Offshore Vedações Industriais,
A Parts Seals está ampliando parcerias com empresas técnicas do setor, e o perfil da Riotec Offshore Vedações Industriais chamou nossa atenção pela atuação em vedações offshore.
Em Macaé/RJ, cadeias como óleo e gás, offshore e manutenção de equipamentos críticos costumam gerar solicitações de vedações especiais, principalmente quando há pressão, desgaste, ataque químico, temperatura ou dificuldade de reposição. Para o perfil de fornecedor de vedações para aplicações offshore e de óleo e gás, vemos maior aderência em vedações para fluidos agressivos, pressão, temperatura, baixo atrito e ambientes de manutenção crítica.
A Parts Seals pode apoiar com componentes em PTFE puro ou carregado, FKM, PU e NBR, com material definido após análise da aplicação. A seleção final do material é validada conforme a aplicação; para as demandas mais comuns da região, vale avaliar especialmente PTFE puro ou carregado, FKM e PU. Nosso objetivo é desenvolver peças especiais por desenho ou amostra e apoiar demandas críticas ou fora de catálogo.
Há alguma aplicação offshore ou de óleo e gás em que o prazo, a geometria ou o material da vedação esteja limitando o atendimento?
Posso encaminhar uma apresentação curta ou avaliar um item real, sem compromisso?
Atenciosamente,
{{NOME_REMETENTE}}
Parts Seals Vedações Industriais
{{TELEFONE_REMETENTE}} | {{SITE_REMETENTE}}</x:v>
      </x:c>
      <x:c r="W31" s="43" t="str">
        <x:v>Olá, equipe da Riotec Offshore Vedações Industriais,
Retomando meu contato: pelo perfil de vedações offshore de vocês, acredito que podemos apoiar principalmente em vedações para fluidos agressivos, pressão, temperatura, baixo atrito e ambientes de manutenção crítica.
Se tiverem uma medida, desenho ou foto de um item difícil de localizar, podemos fazer uma análise inicial e indicar o material mais adequado. Há algum caso em aberto que possamos avaliar?
Atenciosamente,
{{NOME_REMETENTE}}
Parts Seals Vedações Industriais</x:v>
      </x:c>
      <x:c r="X31" s="43" t="str">
        <x:v>Olá, equipe da Riotec Offshore Vedações Industriais,
Encerrando meu contato para não insistir. Caso surja alguma demanda de vedações para fluidos agressivos, pressão, temperatura, baixo atrito e ambientes de manutenção crítica,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31" s="43" t="str">
        <x:v>Há alguma aplicação offshore ou de óleo e gás em que o prazo, a geometria ou o material da vedação esteja limitando o atendimento?</x:v>
      </x:c>
      <x:c r="Z31" s="43" t="str">
        <x:v>Este contato foi direcionado a um canal corporativo público por possível aderência entre as atividades das empresas. Para não receber novas mensagens da Parts Seals, responda com REMOVER.</x:v>
      </x:c>
      <x:c r="AA31" s="43" t="str">
        <x:v>Aguardando aprovação</x:v>
      </x:c>
      <x:c r="AB31" s="43" t="str">
        <x:v>Não</x:v>
      </x:c>
      <x:c r="AC31" s="44"/>
      <x:c r="AD31" s="44"/>
      <x:c r="AE31" s="44"/>
      <x:c r="AF31" s="44"/>
      <x:c r="AG31" s="43"/>
      <x:c r="AH31" s="43"/>
      <x:c r="AI31" s="43" t="str">
        <x:v>Não</x:v>
      </x:c>
      <x:c r="AJ31" s="43"/>
      <x:c r="AK31" s="43"/>
      <x:c r="AL31" s="43" t="str">
        <x:v>https://perfildaindustria.portaldaindustria.com.br/estado/tudo/rj | https://www.gov.br/anp/pt-br/centrais-de-conteudo/paineis-dinamicos-da-anp/paineis-dinamicos-sobre-exploracao-e-producao-de-petroleo-e-gas/painel-de-pocos-na-fase-de-producao</x:v>
      </x:c>
      <x:c r="AM31" s="43" t="str">
        <x:v>https://www.riotecoffshore.com.br/</x:v>
      </x:c>
      <x:c r="AN31" s="43" t="str">
        <x:v>Pesquise a empresa Riotec Offshore Vedações Industriais, de Macaé/RJ,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31" s="43" t="str">
        <x:v>2026-07-24 v1</x:v>
      </x:c>
    </x:row>
    <x:row r="32" ht="72" customHeight="1">
      <x:c r="A32" s="43" t="n">
        <x:v>31</x:v>
      </x:c>
      <x:c r="B32" s="43" t="str">
        <x:v>Unived Vedações Técnicas</x:v>
      </x:c>
      <x:c r="C32" s="43" t="str">
        <x:v>Vedações</x:v>
      </x:c>
      <x:c r="D32" s="43" t="str">
        <x:v>Macaé</x:v>
      </x:c>
      <x:c r="E32" s="43" t="str">
        <x:v>RJ</x:v>
      </x:c>
      <x:c r="F32" s="43" t="str">
        <x:v>Sudeste</x:v>
      </x:c>
      <x:c r="G32" s="43" t="str">
        <x:v>B - Média</x:v>
      </x:c>
      <x:c r="H32" s="43" t="str">
        <x:v>Não contatado</x:v>
      </x:c>
      <x:c r="I32" s="43"/>
      <x:c r="J32" s="43" t="str">
        <x:v>Não localizado em fonte pública confiável até 24/07/2026</x:v>
      </x:c>
      <x:c r="K32" s="43" t="str">
        <x:v>Não</x:v>
      </x:c>
      <x:c r="L32" s="43" t="str">
        <x:v>especialista ou revenda de vedações industriais</x:v>
      </x:c>
      <x:c r="M32" s="43" t="str">
        <x:v>óleo e gás, offshore e manutenção de equipamentos críticos</x:v>
      </x:c>
      <x:c r="N32" s="43" t="str">
        <x:v>gaxetas, raspadores, anéis guia, vedações de haste e pistão, retentores especiais e reposições fora de linha</x:v>
      </x:c>
      <x:c r="O32" s="43" t="str">
        <x:v>peças sob medida em PTFE puro ou carregado, poliuretano, NBR, FKM, nylon e outros materiais técnicos</x:v>
      </x:c>
      <x:c r="P32" s="43" t="str">
        <x:v>complementar o portfólio com itens especiais, pequenas e médias séries, urgências e fabricação por desenho ou amostra</x:v>
      </x:c>
      <x:c r="Q32" s="43" t="str">
        <x:v>Segmento da base: Vedações; localização: Macaé/RJ; contexto industrial regional usado apenas como hipótese comercial. Sem e-mail público localizado. Nenhuma afirmação sobre clientes ou aplicações específicas da empresa foi feita sem fonte.</x:v>
      </x:c>
      <x:c r="R32" s="43" t="str">
        <x:v>Baixa</x:v>
      </x:c>
      <x:c r="S32" s="43" t="str">
        <x:v>Sim</x:v>
      </x:c>
      <x:c r="T32" s="43" t="str">
        <x:v>Demandas fora de catálogo na Unived Vedações Técnicas</x:v>
      </x:c>
      <x:c r="U32" s="43" t="str">
        <x:v>Olá, equipe da Unived Vedações Técnicas,</x:v>
      </x:c>
      <x:c r="V32" s="43" t="str">
        <x:v>Olá, equipe da Unived Vedações Técnicas,
Gostaria de apresentar uma possibilidade de apoio complementar à Unived Vedações Técnicas para peças especiais, urgências e reposições fora de catálogo.
Em Macaé/RJ, cadeias como óleo e gás, offshore e manutenção de equipamentos críticos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puro ou carregado, FKM e PU.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32" s="43" t="str">
        <x:v>Olá, equipe da Unived Vedações Técnicas,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32" s="43" t="str">
        <x:v>Olá, equipe da Unived Vedações Técnicas,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32" s="43" t="str">
        <x:v>Vocês recebem consultas de peças especiais que acabam sem atendimento por prazo, material, quantidade ou ausência de desenho?</x:v>
      </x:c>
      <x:c r="Z32" s="43" t="str">
        <x:v>Este contato foi direcionado a um canal corporativo público por possível aderência entre as atividades das empresas. Para não receber novas mensagens da Parts Seals, responda com REMOVER.</x:v>
      </x:c>
      <x:c r="AA32" s="43" t="str">
        <x:v>Sem e-mail</x:v>
      </x:c>
      <x:c r="AB32" s="43" t="str">
        <x:v>Não</x:v>
      </x:c>
      <x:c r="AC32" s="44"/>
      <x:c r="AD32" s="44"/>
      <x:c r="AE32" s="44"/>
      <x:c r="AF32" s="44"/>
      <x:c r="AG32" s="43"/>
      <x:c r="AH32" s="43"/>
      <x:c r="AI32" s="43" t="str">
        <x:v>Não</x:v>
      </x:c>
      <x:c r="AJ32" s="43"/>
      <x:c r="AK32" s="43"/>
      <x:c r="AL32" s="43" t="str">
        <x:v>https://perfildaindustria.portaldaindustria.com.br/estado/tudo/rj | https://www.gov.br/anp/pt-br/centrais-de-conteudo/paineis-dinamicos-da-anp/paineis-dinamicos-sobre-exploracao-e-producao-de-petroleo-e-gas/painel-de-pocos-na-fase-de-producao</x:v>
      </x:c>
      <x:c r="AM32" s="43" t="str">
        <x:v>Não localizado em fonte pública confiável até 24/07/2026</x:v>
      </x:c>
      <x:c r="AN32" s="43" t="str">
        <x:v>Pesquise a empresa Unived Vedações Técnicas, de Macaé/RJ,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32" s="43" t="str">
        <x:v>2026-07-24 v1</x:v>
      </x:c>
    </x:row>
    <x:row r="33" ht="72" customHeight="1">
      <x:c r="A33" s="43" t="n">
        <x:v>32</x:v>
      </x:c>
      <x:c r="B33" s="43" t="str">
        <x:v>BM Distribuidora de Vedações</x:v>
      </x:c>
      <x:c r="C33" s="43" t="str">
        <x:v>Distribuidora</x:v>
      </x:c>
      <x:c r="D33" s="43" t="str">
        <x:v>Mesquita</x:v>
      </x:c>
      <x:c r="E33" s="43" t="str">
        <x:v>RJ</x:v>
      </x:c>
      <x:c r="F33" s="43" t="str">
        <x:v>Sudeste</x:v>
      </x:c>
      <x:c r="G33" s="43" t="str">
        <x:v>B - Média</x:v>
      </x:c>
      <x:c r="H33" s="43" t="str">
        <x:v>Não contatado</x:v>
      </x:c>
      <x:c r="I33" s="43"/>
      <x:c r="J33" s="43" t="str">
        <x:v>Não localizado em fonte pública confiável até 24/07/2026</x:v>
      </x:c>
      <x:c r="K33" s="43" t="str">
        <x:v>Não</x:v>
      </x:c>
      <x:c r="L33" s="43" t="str">
        <x:v>distribuidor de componentes industriais</x:v>
      </x:c>
      <x:c r="M33" s="43" t="str">
        <x:v>manutenção industrial, logística e atendimento à cadeia fluminense de óleo e gás</x:v>
      </x:c>
      <x:c r="N33" s="43" t="str">
        <x:v>reposições industriais, itens fora de linha, medidas especiais e demandas de manutenção</x:v>
      </x:c>
      <x:c r="O33" s="43" t="str">
        <x:v>vedações e componentes sob medida em PTFE, PU, NBR, FKM e materiais técnicos</x:v>
      </x:c>
      <x:c r="P33" s="43" t="str">
        <x:v>complementar o portfólio sem necessidade de estoque amplo, produzindo por desenho ou amostra</x:v>
      </x:c>
      <x:c r="Q33" s="43" t="str">
        <x:v>Segmento da base: Distribuidora; localização: Mesquita/RJ; contexto industrial regional usado apenas como hipótese comercial. Sem e-mail público localizado. Nenhuma afirmação sobre clientes ou aplicações específicas da empresa foi feita sem fonte.</x:v>
      </x:c>
      <x:c r="R33" s="43" t="str">
        <x:v>Baixa</x:v>
      </x:c>
      <x:c r="S33" s="43" t="str">
        <x:v>Sim</x:v>
      </x:c>
      <x:c r="T33" s="43" t="str">
        <x:v>Peças especiais para complementar o atendimento da BM Distribuidora de Vedações</x:v>
      </x:c>
      <x:c r="U33" s="43" t="str">
        <x:v>Olá, equipe da BM Distribuidora de Vedações,</x:v>
      </x:c>
      <x:c r="V33" s="43" t="str">
        <x:v>Olá, equipe da BM Distribuidora de Vedações,
Estou entrando em contato porque a atuação da BM Distribuidora de Vedações em distribuidora tem boa aderência ao tipo de fabricação especial que realizamos na Parts Seals.
Em Mesquita/RJ, cadeias como manutenção industrial, logística e atendimento à cadeia fluminense de óleo e gás costumam gerar solicitações de vedações especiais, principalmente quando há pressão, desgaste, ataque químico, temperatura ou dificuldade de reposição. Para o perfil de distribuidor de componentes industriais, vemos maior aderência em reposições industriais, itens fora de linha, medidas especiais e demandas de manutenção.
A Parts Seals pode apoiar com vedações e componentes sob medida em PTFE, PU, NBR, FKM e materiais técnicos. A seleção final do material é validada conforme a aplicação; para as demandas mais comuns da região, vale avaliar especialmente PTFE, FKM e PU. Nosso objetivo é complementar o portfólio sem necessidade de estoque amplo, produzindo por desenho ou amostra.
Há famílias de vedações que seus clientes solicitam, mas que hoje ficam fora do portfólio por baixa recorrência?
Posso encaminhar uma apresentação curta ou avaliar um item real, sem compromisso?
Atenciosamente,
{{NOME_REMETENTE}}
Parts Seals Vedações Industriais
{{TELEFONE_REMETENTE}} | {{SITE_REMETENTE}}</x:v>
      </x:c>
      <x:c r="W33" s="43" t="str">
        <x:v>Olá, equipe da BM Distribuidora de Vedações,
Retomando meu contato: pelo perfil de distribuidora de vocês, acredito que podemos apoiar principalmente em reposições industriais, itens fora de linha, medidas especiais e demandas de manutenção.
Se tiverem uma medida, desenho ou foto de um item difícil de localizar, podemos fazer uma análise inicial e indicar o material mais adequado. Há algum caso em aberto que possamos avaliar?
Atenciosamente,
{{NOME_REMETENTE}}
Parts Seals Vedações Industriais</x:v>
      </x:c>
      <x:c r="X33" s="43" t="str">
        <x:v>Olá, equipe da BM Distribuidora de Vedações,
Encerrando meu contato para não insistir. Caso surja alguma demanda de reposições industriais, itens fora de linha, medidas especiais e demandas de manutenção,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33" s="43" t="str">
        <x:v>Há famílias de vedações que seus clientes solicitam, mas que hoje ficam fora do portfólio por baixa recorrência?</x:v>
      </x:c>
      <x:c r="Z33" s="43" t="str">
        <x:v>Este contato foi direcionado a um canal corporativo público por possível aderência entre as atividades das empresas. Para não receber novas mensagens da Parts Seals, responda com REMOVER.</x:v>
      </x:c>
      <x:c r="AA33" s="43" t="str">
        <x:v>Sem e-mail</x:v>
      </x:c>
      <x:c r="AB33" s="43" t="str">
        <x:v>Não</x:v>
      </x:c>
      <x:c r="AC33" s="44"/>
      <x:c r="AD33" s="44"/>
      <x:c r="AE33" s="44"/>
      <x:c r="AF33" s="44"/>
      <x:c r="AG33" s="43"/>
      <x:c r="AH33" s="43"/>
      <x:c r="AI33" s="43" t="str">
        <x:v>Não</x:v>
      </x:c>
      <x:c r="AJ33" s="43"/>
      <x:c r="AK33" s="43"/>
      <x:c r="AL33" s="43" t="str">
        <x:v>https://perfildaindustria.portaldaindustria.com.br/estado/tudo/rj | https://www.gov.br/anp/pt-br/centrais-de-conteudo/paineis-dinamicos-da-anp/paineis-dinamicos-sobre-exploracao-e-producao-de-petroleo-e-gas/painel-de-pocos-na-fase-de-producao</x:v>
      </x:c>
      <x:c r="AM33" s="43" t="str">
        <x:v>Não localizado em fonte pública confiável até 24/07/2026</x:v>
      </x:c>
      <x:c r="AN33" s="43" t="str">
        <x:v>Pesquise a empresa BM Distribuidora de Vedações, de Mesquita/RJ,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33" s="43" t="str">
        <x:v>2026-07-24 v1</x:v>
      </x:c>
    </x:row>
    <x:row r="34" ht="72" customHeight="1">
      <x:c r="A34" s="43" t="n">
        <x:v>33</x:v>
      </x:c>
      <x:c r="B34" s="43" t="str">
        <x:v>DN Vedações</x:v>
      </x:c>
      <x:c r="C34" s="43" t="str">
        <x:v>Vedações</x:v>
      </x:c>
      <x:c r="D34" s="43" t="str">
        <x:v>Rio de Janeiro</x:v>
      </x:c>
      <x:c r="E34" s="43" t="str">
        <x:v>RJ</x:v>
      </x:c>
      <x:c r="F34" s="43" t="str">
        <x:v>Sudeste</x:v>
      </x:c>
      <x:c r="G34" s="43" t="str">
        <x:v>A - Alta</x:v>
      </x:c>
      <x:c r="H34" s="43" t="str">
        <x:v>Não contatado</x:v>
      </x:c>
      <x:c r="I34" s="43"/>
      <x:c r="J34" s="43" t="str">
        <x:v>Não localizado em fonte pública confiável até 24/07/2026</x:v>
      </x:c>
      <x:c r="K34" s="43" t="str">
        <x:v>Não</x:v>
      </x:c>
      <x:c r="L34" s="43" t="str">
        <x:v>especialista ou revenda de vedações industriais</x:v>
      </x:c>
      <x:c r="M34" s="43" t="str">
        <x:v>óleo e gás, naval, químico, energia e manutenção industrial</x:v>
      </x:c>
      <x:c r="N34" s="43" t="str">
        <x:v>gaxetas, raspadores, anéis guia, vedações de haste e pistão, retentores especiais e reposições fora de linha</x:v>
      </x:c>
      <x:c r="O34" s="43" t="str">
        <x:v>peças sob medida em PTFE puro ou carregado, poliuretano, NBR, FKM, nylon e outros materiais técnicos</x:v>
      </x:c>
      <x:c r="P34" s="43" t="str">
        <x:v>complementar o portfólio com itens especiais, pequenas e médias séries, urgências e fabricação por desenho ou amostra</x:v>
      </x:c>
      <x:c r="Q34" s="43" t="str">
        <x:v>Segmento da base: Vedações; localização: Rio de Janeiro/RJ; contexto industrial regional usado apenas como hipótese comercial. Sem e-mail público localizado. Nenhuma afirmação sobre clientes ou aplicações específicas da empresa foi feita sem fonte.</x:v>
      </x:c>
      <x:c r="R34" s="43" t="str">
        <x:v>Baixa</x:v>
      </x:c>
      <x:c r="S34" s="43" t="str">
        <x:v>Sim</x:v>
      </x:c>
      <x:c r="T34" s="43" t="str">
        <x:v>Possível parceria técnica — DN Vedações e Parts Seals</x:v>
      </x:c>
      <x:c r="U34" s="43" t="str">
        <x:v>Olá, equipe da DN Vedações,</x:v>
      </x:c>
      <x:c r="V34" s="43" t="str">
        <x:v>Olá, equipe da DN Vedações,
Ao analisar o perfil da DN Vedações em Rio de Janeiro, identifiquei uma possibilidade de parceria para demandas de vedação que não se encaixam bem em linhas padronizadas.
Em Rio de Janeiro/RJ, cadeias como óleo e gás, naval, químico, energia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FKM e PU.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34" s="43" t="str">
        <x:v>Olá, equipe da DN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34" s="43" t="str">
        <x:v>Olá, equipe da DN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34" s="43" t="str">
        <x:v>Vocês recebem consultas de peças especiais que acabam sem atendimento por prazo, material, quantidade ou ausência de desenho?</x:v>
      </x:c>
      <x:c r="Z34" s="43" t="str">
        <x:v>Este contato foi direcionado a um canal corporativo público por possível aderência entre as atividades das empresas. Para não receber novas mensagens da Parts Seals, responda com REMOVER.</x:v>
      </x:c>
      <x:c r="AA34" s="43" t="str">
        <x:v>Sem e-mail</x:v>
      </x:c>
      <x:c r="AB34" s="43" t="str">
        <x:v>Não</x:v>
      </x:c>
      <x:c r="AC34" s="44"/>
      <x:c r="AD34" s="44"/>
      <x:c r="AE34" s="44"/>
      <x:c r="AF34" s="44"/>
      <x:c r="AG34" s="43"/>
      <x:c r="AH34" s="43"/>
      <x:c r="AI34" s="43" t="str">
        <x:v>Não</x:v>
      </x:c>
      <x:c r="AJ34" s="43"/>
      <x:c r="AK34" s="43"/>
      <x:c r="AL34" s="43" t="str">
        <x:v>https://perfildaindustria.portaldaindustria.com.br/estado/tudo/rj | https://www.gov.br/anp/pt-br/centrais-de-conteudo/paineis-dinamicos-da-anp/paineis-dinamicos-sobre-exploracao-e-producao-de-petroleo-e-gas/painel-de-pocos-na-fase-de-producao</x:v>
      </x:c>
      <x:c r="AM34" s="43" t="str">
        <x:v>Não localizado em fonte pública confiável até 24/07/2026</x:v>
      </x:c>
      <x:c r="AN34" s="43" t="str">
        <x:v>Pesquise a empresa DN Vedações, de Rio de Janeiro/RJ,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34" s="43" t="str">
        <x:v>2026-07-24 v1</x:v>
      </x:c>
    </x:row>
    <x:row r="35" ht="72" customHeight="1">
      <x:c r="A35" s="43" t="n">
        <x:v>34</x:v>
      </x:c>
      <x:c r="B35" s="43" t="str">
        <x:v>Rioveda</x:v>
      </x:c>
      <x:c r="C35" s="43" t="str">
        <x:v>Fabricante/Vedações</x:v>
      </x:c>
      <x:c r="D35" s="43" t="str">
        <x:v>Rio de Janeiro</x:v>
      </x:c>
      <x:c r="E35" s="43" t="str">
        <x:v>RJ</x:v>
      </x:c>
      <x:c r="F35" s="43" t="str">
        <x:v>Sudeste</x:v>
      </x:c>
      <x:c r="G35" s="43" t="str">
        <x:v>A - Alta</x:v>
      </x:c>
      <x:c r="H35" s="43" t="str">
        <x:v>Não contatado</x:v>
      </x:c>
      <x:c r="I35" s="43" t="str">
        <x:v>rioveda@rioveda.com.br</x:v>
      </x:c>
      <x:c r="J35" s="43" t="str">
        <x:v>https://www.rioveda.com.br/</x:v>
      </x:c>
      <x:c r="K35" s="43" t="str">
        <x:v>Sim</x:v>
      </x:c>
      <x:c r="L35" s="43" t="str">
        <x:v>fabricante ou transformador especializado em vedações</x:v>
      </x:c>
      <x:c r="M35" s="43" t="str">
        <x:v>óleo e gás, naval, químico, energia e manutenção industrial</x:v>
      </x:c>
      <x:c r="N35" s="43" t="str">
        <x:v>itens fora de padrão, picos de demanda, protótipos, reposições urgentes e lotes que exigem processo ou material específico</x:v>
      </x:c>
      <x:c r="O35" s="43" t="str">
        <x:v>componentes usinados e moldados em PTFE puro ou carregado, PU, NBR, FKM e materiais técnicos, conforme desenho ou amostra</x:v>
      </x:c>
      <x:c r="P35" s="43" t="str">
        <x:v>atuar como apoio produtivo complementar, preservando a relação comercial de vocês com o cliente final</x:v>
      </x:c>
      <x:c r="Q35" s="43" t="str">
        <x:v>Segmento da base: Fabricante/Vedações; localização: Rio de Janeiro/RJ; contexto industrial regional usado apenas como hipótese comercial. Domínio do e-mail coincide com a fonte oficial. Nenhuma afirmação sobre clientes ou aplicações específicas da empresa foi feita sem fonte.</x:v>
      </x:c>
      <x:c r="R35" s="43" t="str">
        <x:v>Alta</x:v>
      </x:c>
      <x:c r="S35" s="43" t="str">
        <x:v>Recomendada</x:v>
      </x:c>
      <x:c r="T35" s="43" t="str">
        <x:v>Capacidade complementar em vedações — Rioveda</x:v>
      </x:c>
      <x:c r="U35" s="43" t="str">
        <x:v>Olá, equipe da Rioveda,</x:v>
      </x:c>
      <x:c r="V35" s="43" t="str">
        <x:v>Olá, equipe da Rioveda,
A Parts Seals está ampliando parcerias com empresas técnicas do setor, e o perfil da Rioveda chamou nossa atenção pela atuação em fabricante/vedações.
Em Rio de Janeiro/RJ, cadeias como óleo e gás, naval, químico, energia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PTFE, FKM e PU.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35" s="43" t="str">
        <x:v>Olá, equipe da Rioveda,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35" s="43" t="str">
        <x:v>Olá, equipe da Rioveda,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35" s="43" t="str">
        <x:v>Existe hoje algum item especial, urgente ou de baixa quantidade que esteja ocupando capacidade ou ficando sem atendimento?</x:v>
      </x:c>
      <x:c r="Z35" s="43" t="str">
        <x:v>Este contato foi direcionado a um canal corporativo público por possível aderência entre as atividades das empresas. Para não receber novas mensagens da Parts Seals, responda com REMOVER.</x:v>
      </x:c>
      <x:c r="AA35" s="43" t="str">
        <x:v>Aguardando aprovação</x:v>
      </x:c>
      <x:c r="AB35" s="43" t="str">
        <x:v>Não</x:v>
      </x:c>
      <x:c r="AC35" s="44"/>
      <x:c r="AD35" s="44"/>
      <x:c r="AE35" s="44"/>
      <x:c r="AF35" s="44"/>
      <x:c r="AG35" s="43"/>
      <x:c r="AH35" s="43"/>
      <x:c r="AI35" s="43" t="str">
        <x:v>Não</x:v>
      </x:c>
      <x:c r="AJ35" s="43"/>
      <x:c r="AK35" s="43"/>
      <x:c r="AL35" s="43" t="str">
        <x:v>https://perfildaindustria.portaldaindustria.com.br/estado/tudo/rj | https://www.gov.br/anp/pt-br/centrais-de-conteudo/paineis-dinamicos-da-anp/paineis-dinamicos-sobre-exploracao-e-producao-de-petroleo-e-gas/painel-de-pocos-na-fase-de-producao</x:v>
      </x:c>
      <x:c r="AM35" s="43" t="str">
        <x:v>https://www.rioveda.com.br/</x:v>
      </x:c>
      <x:c r="AN35" s="43" t="str">
        <x:v>Pesquise a empresa Rioveda, de Rio de Janeiro/RJ,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35" s="43" t="str">
        <x:v>2026-07-24 v1</x:v>
      </x:c>
    </x:row>
    <x:row r="36" ht="72" customHeight="1">
      <x:c r="A36" s="43" t="n">
        <x:v>35</x:v>
      </x:c>
      <x:c r="B36" s="43" t="str">
        <x:v>Rubbertec Comércio e Serviços</x:v>
      </x:c>
      <x:c r="C36" s="43" t="str">
        <x:v>Vedações</x:v>
      </x:c>
      <x:c r="D36" s="43" t="str">
        <x:v>Rio de Janeiro</x:v>
      </x:c>
      <x:c r="E36" s="43" t="str">
        <x:v>RJ</x:v>
      </x:c>
      <x:c r="F36" s="43" t="str">
        <x:v>Sudeste</x:v>
      </x:c>
      <x:c r="G36" s="43" t="str">
        <x:v>A - Alta</x:v>
      </x:c>
      <x:c r="H36" s="43" t="str">
        <x:v>Não contatado</x:v>
      </x:c>
      <x:c r="I36" s="43" t="str">
        <x:v>vendas@rubbertec.com.br</x:v>
      </x:c>
      <x:c r="J36" s="43" t="str">
        <x:v>https://www.rubbertec.com.br/contato</x:v>
      </x:c>
      <x:c r="K36" s="43" t="str">
        <x:v>Sim</x:v>
      </x:c>
      <x:c r="L36" s="43" t="str">
        <x:v>especialista ou revenda de vedações industriais</x:v>
      </x:c>
      <x:c r="M36" s="43" t="str">
        <x:v>óleo e gás, naval, químico, energia e manutenção industrial</x:v>
      </x:c>
      <x:c r="N36" s="43" t="str">
        <x:v>gaxetas, raspadores, anéis guia, vedações de haste e pistão, retentores especiais e reposições fora de linha</x:v>
      </x:c>
      <x:c r="O36" s="43" t="str">
        <x:v>peças sob medida em PTFE puro ou carregado, poliuretano, NBR, FKM, nylon e outros materiais técnicos</x:v>
      </x:c>
      <x:c r="P36" s="43" t="str">
        <x:v>complementar o portfólio com itens especiais, pequenas e médias séries, urgências e fabricação por desenho ou amostra</x:v>
      </x:c>
      <x:c r="Q36" s="43" t="str">
        <x:v>Segmento da base: Vedações; localização: Rio de Janeiro/RJ; contexto industrial regional usado apenas como hipótese comercial. Domínio do e-mail coincide com a fonte oficial. Nenhuma afirmação sobre clientes ou aplicações específicas da empresa foi feita sem fonte.</x:v>
      </x:c>
      <x:c r="R36" s="43" t="str">
        <x:v>Alta</x:v>
      </x:c>
      <x:c r="S36" s="43" t="str">
        <x:v>Recomendada</x:v>
      </x:c>
      <x:c r="T36" s="43" t="str">
        <x:v>Demandas fora de catálogo na Rubbertec Comércio e Serviços</x:v>
      </x:c>
      <x:c r="U36" s="43" t="str">
        <x:v>Olá, equipe da Rubbertec Comércio e Serviços,</x:v>
      </x:c>
      <x:c r="V36" s="43" t="str">
        <x:v>Olá, equipe da Rubbertec Comércio e Serviços,
Gostaria de apresentar uma possibilidade de apoio complementar à Rubbertec Comércio e Serviços para peças especiais, urgências e reposições fora de catálogo.
Em Rio de Janeiro/RJ, cadeias como óleo e gás, naval, químico, energia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FKM e PU.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36" s="43" t="str">
        <x:v>Olá, equipe da Rubbertec Comércio e Serviços,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36" s="43" t="str">
        <x:v>Olá, equipe da Rubbertec Comércio e Serviços,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36" s="43" t="str">
        <x:v>Vocês recebem consultas de peças especiais que acabam sem atendimento por prazo, material, quantidade ou ausência de desenho?</x:v>
      </x:c>
      <x:c r="Z36" s="43" t="str">
        <x:v>Este contato foi direcionado a um canal corporativo público por possível aderência entre as atividades das empresas. Para não receber novas mensagens da Parts Seals, responda com REMOVER.</x:v>
      </x:c>
      <x:c r="AA36" s="43" t="str">
        <x:v>Aguardando aprovação</x:v>
      </x:c>
      <x:c r="AB36" s="43" t="str">
        <x:v>Não</x:v>
      </x:c>
      <x:c r="AC36" s="44"/>
      <x:c r="AD36" s="44"/>
      <x:c r="AE36" s="44"/>
      <x:c r="AF36" s="44"/>
      <x:c r="AG36" s="43"/>
      <x:c r="AH36" s="43"/>
      <x:c r="AI36" s="43" t="str">
        <x:v>Não</x:v>
      </x:c>
      <x:c r="AJ36" s="43"/>
      <x:c r="AK36" s="43"/>
      <x:c r="AL36" s="43" t="str">
        <x:v>https://perfildaindustria.portaldaindustria.com.br/estado/tudo/rj | https://www.gov.br/anp/pt-br/centrais-de-conteudo/paineis-dinamicos-da-anp/paineis-dinamicos-sobre-exploracao-e-producao-de-petroleo-e-gas/painel-de-pocos-na-fase-de-producao</x:v>
      </x:c>
      <x:c r="AM36" s="43" t="str">
        <x:v>https://www.rubbertec.com.br/contato</x:v>
      </x:c>
      <x:c r="AN36" s="43" t="str">
        <x:v>Pesquise a empresa Rubbertec Comércio e Serviços, de Rio de Janeiro/RJ,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36" s="43" t="str">
        <x:v>2026-07-24 v1</x:v>
      </x:c>
    </x:row>
    <x:row r="37" ht="72" customHeight="1">
      <x:c r="A37" s="43" t="n">
        <x:v>36</x:v>
      </x:c>
      <x:c r="B37" s="43" t="str">
        <x:v>Alcalde Vedações</x:v>
      </x:c>
      <x:c r="C37" s="43" t="str">
        <x:v>Vedações</x:v>
      </x:c>
      <x:c r="D37" s="43" t="str">
        <x:v>Americana</x:v>
      </x:c>
      <x:c r="E37" s="43" t="str">
        <x:v>SP</x:v>
      </x:c>
      <x:c r="F37" s="43" t="str">
        <x:v>Sudeste</x:v>
      </x:c>
      <x:c r="G37" s="43" t="str">
        <x:v>B - Média</x:v>
      </x:c>
      <x:c r="H37" s="43" t="str">
        <x:v>Não contatado</x:v>
      </x:c>
      <x:c r="I37" s="43" t="str">
        <x:v>contato@alcaldevedacoes.com.br</x:v>
      </x:c>
      <x:c r="J37" s="43" t="str">
        <x:v>https://alcaldevedacoes.com.br/</x:v>
      </x:c>
      <x:c r="K37" s="43" t="str">
        <x:v>Sim</x:v>
      </x:c>
      <x:c r="L37" s="43" t="str">
        <x:v>especialista ou revenda de vedações industriais</x:v>
      </x:c>
      <x:c r="M37" s="43" t="str">
        <x:v>máquinas, automotivo, químico, alimentos e manutenção industrial</x:v>
      </x:c>
      <x:c r="N37" s="43" t="str">
        <x:v>gaxetas, raspadores, anéis guia, vedações de haste e pistão, retentores especiais e reposições fora de linha</x:v>
      </x:c>
      <x:c r="O37" s="43" t="str">
        <x:v>peças sob medida em PTFE puro ou carregado, poliuretano, NBR, FKM, nylon e outros materiais técnicos</x:v>
      </x:c>
      <x:c r="P37" s="43" t="str">
        <x:v>complementar o portfólio com itens especiais, pequenas e médias séries, urgências e fabricação por desenho ou amostra</x:v>
      </x:c>
      <x:c r="Q37" s="43" t="str">
        <x:v>Segmento da base: Vedações; localização: Americana/SP; contexto industrial regional usado apenas como hipótese comercial. Domínio do e-mail coincide com a fonte oficial. Nenhuma afirmação sobre clientes ou aplicações específicas da empresa foi feita sem fonte.</x:v>
      </x:c>
      <x:c r="R37" s="43" t="str">
        <x:v>Alta</x:v>
      </x:c>
      <x:c r="S37" s="43" t="str">
        <x:v>Recomendada</x:v>
      </x:c>
      <x:c r="T37" s="43" t="str">
        <x:v>Peças especiais para complementar o atendimento da Alcalde Vedações</x:v>
      </x:c>
      <x:c r="U37" s="43" t="str">
        <x:v>Olá, equipe da Alcalde Vedações,</x:v>
      </x:c>
      <x:c r="V37" s="43" t="str">
        <x:v>Olá, equipe da Alcalde Vedações,
Estou entrando em contato porque a atuação da Alcalde Vedações em vedações tem boa aderência ao tipo de fabricação especial que realizamos na Parts Seals.
Em Americana/SP,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37" s="43" t="str">
        <x:v>Olá, equipe da Alcalde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37" s="43" t="str">
        <x:v>Olá, equipe da Alcalde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37" s="43" t="str">
        <x:v>Vocês recebem consultas de peças especiais que acabam sem atendimento por prazo, material, quantidade ou ausência de desenho?</x:v>
      </x:c>
      <x:c r="Z37" s="43" t="str">
        <x:v>Este contato foi direcionado a um canal corporativo público por possível aderência entre as atividades das empresas. Para não receber novas mensagens da Parts Seals, responda com REMOVER.</x:v>
      </x:c>
      <x:c r="AA37" s="43" t="str">
        <x:v>Aguardando aprovação</x:v>
      </x:c>
      <x:c r="AB37" s="43" t="str">
        <x:v>Não</x:v>
      </x:c>
      <x:c r="AC37" s="44"/>
      <x:c r="AD37" s="44"/>
      <x:c r="AE37" s="44"/>
      <x:c r="AF37" s="44"/>
      <x:c r="AG37" s="43"/>
      <x:c r="AH37" s="43"/>
      <x:c r="AI37" s="43" t="str">
        <x:v>Não</x:v>
      </x:c>
      <x:c r="AJ37" s="43"/>
      <x:c r="AK37" s="43"/>
      <x:c r="AL37" s="43" t="str">
        <x:v>https://perfildaindustria.portaldaindustria.com.br/estado/tudo/sp</x:v>
      </x:c>
      <x:c r="AM37" s="43" t="str">
        <x:v>https://alcaldevedacoes.com.br/</x:v>
      </x:c>
      <x:c r="AN37" s="43" t="str">
        <x:v>Pesquise a empresa Alcalde Vedações, de Americana/SP,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37" s="43" t="str">
        <x:v>2026-07-24 v1</x:v>
      </x:c>
    </x:row>
    <x:row r="38" ht="72" customHeight="1">
      <x:c r="A38" s="43" t="n">
        <x:v>37</x:v>
      </x:c>
      <x:c r="B38" s="43" t="str">
        <x:v>Ameriveda Trade Representations</x:v>
      </x:c>
      <x:c r="C38" s="43" t="str">
        <x:v>Vedações</x:v>
      </x:c>
      <x:c r="D38" s="43" t="str">
        <x:v>Americana</x:v>
      </x:c>
      <x:c r="E38" s="43" t="str">
        <x:v>SP</x:v>
      </x:c>
      <x:c r="F38" s="43" t="str">
        <x:v>Sudeste</x:v>
      </x:c>
      <x:c r="G38" s="43" t="str">
        <x:v>A - Alta</x:v>
      </x:c>
      <x:c r="H38" s="43" t="str">
        <x:v>Não contatado</x:v>
      </x:c>
      <x:c r="I38" s="43"/>
      <x:c r="J38" s="43" t="str">
        <x:v>Não localizado em fonte pública confiável até 24/07/2026</x:v>
      </x:c>
      <x:c r="K38" s="43" t="str">
        <x:v>Não</x:v>
      </x:c>
      <x:c r="L38" s="43" t="str">
        <x:v>especialista ou revenda de vedações industriais</x:v>
      </x:c>
      <x:c r="M38" s="43" t="str">
        <x:v>máquinas, automotivo, químico, alimentos e manutenção industrial</x:v>
      </x:c>
      <x:c r="N38" s="43" t="str">
        <x:v>gaxetas, raspadores, anéis guia, vedações de haste e pistão, retentores especiais e reposições fora de linha</x:v>
      </x:c>
      <x:c r="O38" s="43" t="str">
        <x:v>peças sob medida em PTFE puro ou carregado, poliuretano, NBR, FKM, nylon e outros materiais técnicos</x:v>
      </x:c>
      <x:c r="P38" s="43" t="str">
        <x:v>complementar o portfólio com itens especiais, pequenas e médias séries, urgências e fabricação por desenho ou amostra</x:v>
      </x:c>
      <x:c r="Q38" s="43" t="str">
        <x:v>Segmento da base: Vedações; localização: Americana/SP; contexto industrial regional usado apenas como hipótese comercial. Sem e-mail público localizado. Nenhuma afirmação sobre clientes ou aplicações específicas da empresa foi feita sem fonte.</x:v>
      </x:c>
      <x:c r="R38" s="43" t="str">
        <x:v>Baixa</x:v>
      </x:c>
      <x:c r="S38" s="43" t="str">
        <x:v>Sim</x:v>
      </x:c>
      <x:c r="T38" s="43" t="str">
        <x:v>Possível parceria técnica — Ameriveda Trade Representations e Parts Seals</x:v>
      </x:c>
      <x:c r="U38" s="43" t="str">
        <x:v>Olá, equipe da Ameriveda Trade Representations,</x:v>
      </x:c>
      <x:c r="V38" s="43" t="str">
        <x:v>Olá, equipe da Ameriveda Trade Representations,
Ao analisar o perfil da Ameriveda Trade Representations em Americana, identifiquei uma possibilidade de parceria para demandas de vedação que não se encaixam bem em linhas padronizadas.
Em Americana/SP,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38" s="43" t="str">
        <x:v>Olá, equipe da Ameriveda Trade Representations,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38" s="43" t="str">
        <x:v>Olá, equipe da Ameriveda Trade Representations,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38" s="43" t="str">
        <x:v>Vocês recebem consultas de peças especiais que acabam sem atendimento por prazo, material, quantidade ou ausência de desenho?</x:v>
      </x:c>
      <x:c r="Z38" s="43" t="str">
        <x:v>Este contato foi direcionado a um canal corporativo público por possível aderência entre as atividades das empresas. Para não receber novas mensagens da Parts Seals, responda com REMOVER.</x:v>
      </x:c>
      <x:c r="AA38" s="43" t="str">
        <x:v>Sem e-mail</x:v>
      </x:c>
      <x:c r="AB38" s="43" t="str">
        <x:v>Não</x:v>
      </x:c>
      <x:c r="AC38" s="44"/>
      <x:c r="AD38" s="44"/>
      <x:c r="AE38" s="44"/>
      <x:c r="AF38" s="44"/>
      <x:c r="AG38" s="43"/>
      <x:c r="AH38" s="43"/>
      <x:c r="AI38" s="43" t="str">
        <x:v>Não</x:v>
      </x:c>
      <x:c r="AJ38" s="43"/>
      <x:c r="AK38" s="43"/>
      <x:c r="AL38" s="43" t="str">
        <x:v>https://perfildaindustria.portaldaindustria.com.br/estado/tudo/sp</x:v>
      </x:c>
      <x:c r="AM38" s="43" t="str">
        <x:v>Não localizado em fonte pública confiável até 24/07/2026</x:v>
      </x:c>
      <x:c r="AN38" s="43" t="str">
        <x:v>Pesquise a empresa Ameriveda Trade Representations, de Americana/SP,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38" s="43" t="str">
        <x:v>2026-07-24 v1</x:v>
      </x:c>
    </x:row>
    <x:row r="39" ht="72" customHeight="1">
      <x:c r="A39" s="43" t="n">
        <x:v>38</x:v>
      </x:c>
      <x:c r="B39" s="43" t="str">
        <x:v>RM Golfi</x:v>
      </x:c>
      <x:c r="C39" s="43" t="str">
        <x:v>Vedações</x:v>
      </x:c>
      <x:c r="D39" s="43" t="str">
        <x:v>Americana</x:v>
      </x:c>
      <x:c r="E39" s="43" t="str">
        <x:v>SP</x:v>
      </x:c>
      <x:c r="F39" s="43" t="str">
        <x:v>Sudeste</x:v>
      </x:c>
      <x:c r="G39" s="43" t="str">
        <x:v>B - Média</x:v>
      </x:c>
      <x:c r="H39" s="43" t="str">
        <x:v>Não contatado</x:v>
      </x:c>
      <x:c r="I39" s="43"/>
      <x:c r="J39" s="43" t="str">
        <x:v>Não localizado em fonte pública confiável até 24/07/2026</x:v>
      </x:c>
      <x:c r="K39" s="43" t="str">
        <x:v>Não</x:v>
      </x:c>
      <x:c r="L39" s="43" t="str">
        <x:v>especialista ou revenda de vedações industriais</x:v>
      </x:c>
      <x:c r="M39" s="43" t="str">
        <x:v>máquinas, automotivo, químico, alimentos e manutenção industrial</x:v>
      </x:c>
      <x:c r="N39" s="43" t="str">
        <x:v>gaxetas, raspadores, anéis guia, vedações de haste e pistão, retentores especiais e reposições fora de linha</x:v>
      </x:c>
      <x:c r="O39" s="43" t="str">
        <x:v>peças sob medida em PTFE puro ou carregado, poliuretano, NBR, FKM, nylon e outros materiais técnicos</x:v>
      </x:c>
      <x:c r="P39" s="43" t="str">
        <x:v>complementar o portfólio com itens especiais, pequenas e médias séries, urgências e fabricação por desenho ou amostra</x:v>
      </x:c>
      <x:c r="Q39" s="43" t="str">
        <x:v>Segmento da base: Vedações; localização: Americana/SP; contexto industrial regional usado apenas como hipótese comercial. Sem e-mail público localizado. Nenhuma afirmação sobre clientes ou aplicações específicas da empresa foi feita sem fonte.</x:v>
      </x:c>
      <x:c r="R39" s="43" t="str">
        <x:v>Baixa</x:v>
      </x:c>
      <x:c r="S39" s="43" t="str">
        <x:v>Sim</x:v>
      </x:c>
      <x:c r="T39" s="43" t="str">
        <x:v>Apoio em vedações sob medida para a RM Golfi</x:v>
      </x:c>
      <x:c r="U39" s="43" t="str">
        <x:v>Olá, equipe da RM Golfi,</x:v>
      </x:c>
      <x:c r="V39" s="43" t="str">
        <x:v>Olá, equipe da RM Golfi,
A Parts Seals está ampliando parcerias com empresas técnicas do setor, e o perfil da RM Golfi chamou nossa atenção pela atuação em vedações.
Em Americana/SP,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39" s="43" t="str">
        <x:v>Olá, equipe da RM Golfi,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39" s="43" t="str">
        <x:v>Olá, equipe da RM Golfi,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39" s="43" t="str">
        <x:v>Vocês recebem consultas de peças especiais que acabam sem atendimento por prazo, material, quantidade ou ausência de desenho?</x:v>
      </x:c>
      <x:c r="Z39" s="43" t="str">
        <x:v>Este contato foi direcionado a um canal corporativo público por possível aderência entre as atividades das empresas. Para não receber novas mensagens da Parts Seals, responda com REMOVER.</x:v>
      </x:c>
      <x:c r="AA39" s="43" t="str">
        <x:v>Sem e-mail</x:v>
      </x:c>
      <x:c r="AB39" s="43" t="str">
        <x:v>Não</x:v>
      </x:c>
      <x:c r="AC39" s="44"/>
      <x:c r="AD39" s="44"/>
      <x:c r="AE39" s="44"/>
      <x:c r="AF39" s="44"/>
      <x:c r="AG39" s="43"/>
      <x:c r="AH39" s="43"/>
      <x:c r="AI39" s="43" t="str">
        <x:v>Não</x:v>
      </x:c>
      <x:c r="AJ39" s="43"/>
      <x:c r="AK39" s="43"/>
      <x:c r="AL39" s="43" t="str">
        <x:v>https://perfildaindustria.portaldaindustria.com.br/estado/tudo/sp</x:v>
      </x:c>
      <x:c r="AM39" s="43" t="str">
        <x:v>Não localizado em fonte pública confiável até 24/07/2026</x:v>
      </x:c>
      <x:c r="AN39" s="43" t="str">
        <x:v>Pesquise a empresa RM Golfi, de Americana/SP,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39" s="43" t="str">
        <x:v>2026-07-24 v1</x:v>
      </x:c>
    </x:row>
    <x:row r="40" ht="72" customHeight="1">
      <x:c r="A40" s="43" t="n">
        <x:v>39</x:v>
      </x:c>
      <x:c r="B40" s="43" t="str">
        <x:v>RM Vedações</x:v>
      </x:c>
      <x:c r="C40" s="43" t="str">
        <x:v>Fabricante/Vedações</x:v>
      </x:c>
      <x:c r="D40" s="43" t="str">
        <x:v>Americana</x:v>
      </x:c>
      <x:c r="E40" s="43" t="str">
        <x:v>SP</x:v>
      </x:c>
      <x:c r="F40" s="43" t="str">
        <x:v>Sudeste</x:v>
      </x:c>
      <x:c r="G40" s="43" t="str">
        <x:v>C - Baixa</x:v>
      </x:c>
      <x:c r="H40" s="43" t="str">
        <x:v>Não contatado</x:v>
      </x:c>
      <x:c r="I40" s="43"/>
      <x:c r="J40" s="43" t="str">
        <x:v>Não localizado em fonte pública confiável até 24/07/2026</x:v>
      </x:c>
      <x:c r="K40" s="43" t="str">
        <x:v>Não</x:v>
      </x:c>
      <x:c r="L40" s="43" t="str">
        <x:v>fabricante ou transformador especializado em vedações</x:v>
      </x:c>
      <x:c r="M40" s="43" t="str">
        <x:v>máquinas, automotivo, químico, alimentos e manutenção industrial</x:v>
      </x:c>
      <x:c r="N40" s="43" t="str">
        <x:v>itens fora de padrão, picos de demanda, protótipos, reposições urgentes e lotes que exigem processo ou material específico</x:v>
      </x:c>
      <x:c r="O40" s="43" t="str">
        <x:v>componentes usinados e moldados em PTFE puro ou carregado, PU, NBR, FKM e materiais técnicos, conforme desenho ou amostra</x:v>
      </x:c>
      <x:c r="P40" s="43" t="str">
        <x:v>atuar como apoio produtivo complementar, preservando a relação comercial de vocês com o cliente final</x:v>
      </x:c>
      <x:c r="Q40" s="43" t="str">
        <x:v>Segmento da base: Fabricante/Vedações; localização: Americana/SP; contexto industrial regional usado apenas como hipótese comercial. Sem e-mail público localizado. Nenhuma afirmação sobre clientes ou aplicações específicas da empresa foi feita sem fonte.</x:v>
      </x:c>
      <x:c r="R40" s="43" t="str">
        <x:v>Baixa</x:v>
      </x:c>
      <x:c r="S40" s="43" t="str">
        <x:v>Sim</x:v>
      </x:c>
      <x:c r="T40" s="43" t="str">
        <x:v>Itens urgentes ou fora de padrão — RM Vedações</x:v>
      </x:c>
      <x:c r="U40" s="43" t="str">
        <x:v>Olá, equipe da RM Vedações,</x:v>
      </x:c>
      <x:c r="V40" s="43" t="str">
        <x:v>Olá, equipe da RM Vedações,
Gostaria de apresentar uma possibilidade de apoio complementar à RM Vedações para peças especiais, urgências e reposições fora de catálogo.
Em Americana/SP, cadeias como máquinas, automotivo, químico, alimentos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40" s="43" t="str">
        <x:v>Olá, equipe da RM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40" s="43" t="str">
        <x:v>Olá, equipe da RM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40" s="43" t="str">
        <x:v>Existe hoje algum item especial, urgente ou de baixa quantidade que esteja ocupando capacidade ou ficando sem atendimento?</x:v>
      </x:c>
      <x:c r="Z40" s="43" t="str">
        <x:v>Este contato foi direcionado a um canal corporativo público por possível aderência entre as atividades das empresas. Para não receber novas mensagens da Parts Seals, responda com REMOVER.</x:v>
      </x:c>
      <x:c r="AA40" s="43" t="str">
        <x:v>Sem e-mail</x:v>
      </x:c>
      <x:c r="AB40" s="43" t="str">
        <x:v>Não</x:v>
      </x:c>
      <x:c r="AC40" s="44"/>
      <x:c r="AD40" s="44"/>
      <x:c r="AE40" s="44"/>
      <x:c r="AF40" s="44"/>
      <x:c r="AG40" s="43"/>
      <x:c r="AH40" s="43"/>
      <x:c r="AI40" s="43" t="str">
        <x:v>Não</x:v>
      </x:c>
      <x:c r="AJ40" s="43"/>
      <x:c r="AK40" s="43"/>
      <x:c r="AL40" s="43" t="str">
        <x:v>https://perfildaindustria.portaldaindustria.com.br/estado/tudo/sp</x:v>
      </x:c>
      <x:c r="AM40" s="43" t="str">
        <x:v>Não localizado em fonte pública confiável até 24/07/2026</x:v>
      </x:c>
      <x:c r="AN40" s="43" t="str">
        <x:v>Pesquise a empresa RM Vedações, de Americana/SP,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40" s="43" t="str">
        <x:v>2026-07-24 v1</x:v>
      </x:c>
    </x:row>
    <x:row r="41" ht="72" customHeight="1">
      <x:c r="A41" s="43" t="n">
        <x:v>40</x:v>
      </x:c>
      <x:c r="B41" s="43" t="str">
        <x:v>Vedação Araraquara</x:v>
      </x:c>
      <x:c r="C41" s="43" t="str">
        <x:v>Vedações</x:v>
      </x:c>
      <x:c r="D41" s="43" t="str">
        <x:v>Araraquara</x:v>
      </x:c>
      <x:c r="E41" s="43" t="str">
        <x:v>SP</x:v>
      </x:c>
      <x:c r="F41" s="43" t="str">
        <x:v>Sudeste</x:v>
      </x:c>
      <x:c r="G41" s="43" t="str">
        <x:v>A - Alta</x:v>
      </x:c>
      <x:c r="H41" s="43" t="str">
        <x:v>Não contatado</x:v>
      </x:c>
      <x:c r="I41" s="43"/>
      <x:c r="J41" s="43" t="str">
        <x:v>Não localizado em fonte pública confiável até 24/07/2026</x:v>
      </x:c>
      <x:c r="K41" s="43" t="str">
        <x:v>Não</x:v>
      </x:c>
      <x:c r="L41" s="43" t="str">
        <x:v>especialista ou revenda de vedações industriais</x:v>
      </x:c>
      <x:c r="M41" s="43" t="str">
        <x:v>máquinas, automotivo, químico, alimentos e manutenção industrial</x:v>
      </x:c>
      <x:c r="N41" s="43" t="str">
        <x:v>gaxetas, raspadores, anéis guia, vedações de haste e pistão, retentores especiais e reposições fora de linha</x:v>
      </x:c>
      <x:c r="O41" s="43" t="str">
        <x:v>peças sob medida em PTFE puro ou carregado, poliuretano, NBR, FKM, nylon e outros materiais técnicos</x:v>
      </x:c>
      <x:c r="P41" s="43" t="str">
        <x:v>complementar o portfólio com itens especiais, pequenas e médias séries, urgências e fabricação por desenho ou amostra</x:v>
      </x:c>
      <x:c r="Q41" s="43" t="str">
        <x:v>Segmento da base: Vedações; localização: Araraquara/SP; contexto industrial regional usado apenas como hipótese comercial. Sem e-mail público localizado. Nenhuma afirmação sobre clientes ou aplicações específicas da empresa foi feita sem fonte.</x:v>
      </x:c>
      <x:c r="R41" s="43" t="str">
        <x:v>Baixa</x:v>
      </x:c>
      <x:c r="S41" s="43" t="str">
        <x:v>Sim</x:v>
      </x:c>
      <x:c r="T41" s="43" t="str">
        <x:v>Peças especiais para complementar o atendimento da Vedação Araraquara</x:v>
      </x:c>
      <x:c r="U41" s="43" t="str">
        <x:v>Olá, equipe da Vedação Araraquara,</x:v>
      </x:c>
      <x:c r="V41" s="43" t="str">
        <x:v>Olá, equipe da Vedação Araraquara,
Estou entrando em contato porque a atuação da Vedação Araraquara em vedações tem boa aderência ao tipo de fabricação especial que realizamos na Parts Seals.
Em Araraquara/SP,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41" s="43" t="str">
        <x:v>Olá, equipe da Vedação Araraquara,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41" s="43" t="str">
        <x:v>Olá, equipe da Vedação Araraquara,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41" s="43" t="str">
        <x:v>Vocês recebem consultas de peças especiais que acabam sem atendimento por prazo, material, quantidade ou ausência de desenho?</x:v>
      </x:c>
      <x:c r="Z41" s="43" t="str">
        <x:v>Este contato foi direcionado a um canal corporativo público por possível aderência entre as atividades das empresas. Para não receber novas mensagens da Parts Seals, responda com REMOVER.</x:v>
      </x:c>
      <x:c r="AA41" s="43" t="str">
        <x:v>Sem e-mail</x:v>
      </x:c>
      <x:c r="AB41" s="43" t="str">
        <x:v>Não</x:v>
      </x:c>
      <x:c r="AC41" s="44"/>
      <x:c r="AD41" s="44"/>
      <x:c r="AE41" s="44"/>
      <x:c r="AF41" s="44"/>
      <x:c r="AG41" s="43"/>
      <x:c r="AH41" s="43"/>
      <x:c r="AI41" s="43" t="str">
        <x:v>Não</x:v>
      </x:c>
      <x:c r="AJ41" s="43"/>
      <x:c r="AK41" s="43"/>
      <x:c r="AL41" s="43" t="str">
        <x:v>https://perfildaindustria.portaldaindustria.com.br/estado/tudo/sp</x:v>
      </x:c>
      <x:c r="AM41" s="43" t="str">
        <x:v>Não localizado em fonte pública confiável até 24/07/2026</x:v>
      </x:c>
      <x:c r="AN41" s="43" t="str">
        <x:v>Pesquise a empresa Vedação Araraquara, de Araraquara/SP,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41" s="43" t="str">
        <x:v>2026-07-24 v1</x:v>
      </x:c>
    </x:row>
    <x:row r="42" ht="72" customHeight="1">
      <x:c r="A42" s="43" t="n">
        <x:v>41</x:v>
      </x:c>
      <x:c r="B42" s="43" t="str">
        <x:v>Veda-Ata Comércio de Peças</x:v>
      </x:c>
      <x:c r="C42" s="43" t="str">
        <x:v>Vedações</x:v>
      </x:c>
      <x:c r="D42" s="43" t="str">
        <x:v>Araçatuba</x:v>
      </x:c>
      <x:c r="E42" s="43" t="str">
        <x:v>SP</x:v>
      </x:c>
      <x:c r="F42" s="43" t="str">
        <x:v>Sudeste</x:v>
      </x:c>
      <x:c r="G42" s="43" t="str">
        <x:v>A - Alta</x:v>
      </x:c>
      <x:c r="H42" s="43" t="str">
        <x:v>Não contatado</x:v>
      </x:c>
      <x:c r="I42" s="43"/>
      <x:c r="J42" s="43" t="str">
        <x:v>Não localizado em fonte pública confiável até 24/07/2026</x:v>
      </x:c>
      <x:c r="K42" s="43" t="str">
        <x:v>Não</x:v>
      </x:c>
      <x:c r="L42" s="43" t="str">
        <x:v>especialista ou revenda de vedações industriais</x:v>
      </x:c>
      <x:c r="M42" s="43" t="str">
        <x:v>máquinas, automotivo, químico, alimentos e manutenção industrial</x:v>
      </x:c>
      <x:c r="N42" s="43" t="str">
        <x:v>gaxetas, raspadores, anéis guia, vedações de haste e pistão, retentores especiais e reposições fora de linha</x:v>
      </x:c>
      <x:c r="O42" s="43" t="str">
        <x:v>peças sob medida em PTFE puro ou carregado, poliuretano, NBR, FKM, nylon e outros materiais técnicos</x:v>
      </x:c>
      <x:c r="P42" s="43" t="str">
        <x:v>complementar o portfólio com itens especiais, pequenas e médias séries, urgências e fabricação por desenho ou amostra</x:v>
      </x:c>
      <x:c r="Q42" s="43" t="str">
        <x:v>Segmento da base: Vedações; localização: Araçatuba/SP; contexto industrial regional usado apenas como hipótese comercial. Sem e-mail público localizado. Nenhuma afirmação sobre clientes ou aplicações específicas da empresa foi feita sem fonte.</x:v>
      </x:c>
      <x:c r="R42" s="43" t="str">
        <x:v>Baixa</x:v>
      </x:c>
      <x:c r="S42" s="43" t="str">
        <x:v>Sim</x:v>
      </x:c>
      <x:c r="T42" s="43" t="str">
        <x:v>Possível parceria técnica — Veda-Ata Comércio de Peças e Parts Seals</x:v>
      </x:c>
      <x:c r="U42" s="43" t="str">
        <x:v>Olá, equipe da Veda-Ata Comércio de Peças,</x:v>
      </x:c>
      <x:c r="V42" s="43" t="str">
        <x:v>Olá, equipe da Veda-Ata Comércio de Peças,
Ao analisar o perfil da Veda-Ata Comércio de Peças em Araçatuba, identifiquei uma possibilidade de parceria para demandas de vedação que não se encaixam bem em linhas padronizadas.
Em Araçatuba/SP,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42" s="43" t="str">
        <x:v>Olá, equipe da Veda-Ata Comércio de Peças,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42" s="43" t="str">
        <x:v>Olá, equipe da Veda-Ata Comércio de Peças,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42" s="43" t="str">
        <x:v>Vocês recebem consultas de peças especiais que acabam sem atendimento por prazo, material, quantidade ou ausência de desenho?</x:v>
      </x:c>
      <x:c r="Z42" s="43" t="str">
        <x:v>Este contato foi direcionado a um canal corporativo público por possível aderência entre as atividades das empresas. Para não receber novas mensagens da Parts Seals, responda com REMOVER.</x:v>
      </x:c>
      <x:c r="AA42" s="43" t="str">
        <x:v>Sem e-mail</x:v>
      </x:c>
      <x:c r="AB42" s="43" t="str">
        <x:v>Não</x:v>
      </x:c>
      <x:c r="AC42" s="44"/>
      <x:c r="AD42" s="44"/>
      <x:c r="AE42" s="44"/>
      <x:c r="AF42" s="44"/>
      <x:c r="AG42" s="43"/>
      <x:c r="AH42" s="43"/>
      <x:c r="AI42" s="43" t="str">
        <x:v>Não</x:v>
      </x:c>
      <x:c r="AJ42" s="43"/>
      <x:c r="AK42" s="43"/>
      <x:c r="AL42" s="43" t="str">
        <x:v>https://perfildaindustria.portaldaindustria.com.br/estado/tudo/sp</x:v>
      </x:c>
      <x:c r="AM42" s="43" t="str">
        <x:v>Não localizado em fonte pública confiável até 24/07/2026</x:v>
      </x:c>
      <x:c r="AN42" s="43" t="str">
        <x:v>Pesquise a empresa Veda-Ata Comércio de Peças, de Araçatuba/SP,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42" s="43" t="str">
        <x:v>2026-07-24 v1</x:v>
      </x:c>
    </x:row>
    <x:row r="43" ht="72" customHeight="1">
      <x:c r="A43" s="43" t="n">
        <x:v>42</x:v>
      </x:c>
      <x:c r="B43" s="43" t="str">
        <x:v>Vedasa Materiais</x:v>
      </x:c>
      <x:c r="C43" s="43" t="str">
        <x:v>Vedações</x:v>
      </x:c>
      <x:c r="D43" s="43" t="str">
        <x:v>Barretos</x:v>
      </x:c>
      <x:c r="E43" s="43" t="str">
        <x:v>SP</x:v>
      </x:c>
      <x:c r="F43" s="43" t="str">
        <x:v>Sudeste</x:v>
      </x:c>
      <x:c r="G43" s="43" t="str">
        <x:v>A - Alta</x:v>
      </x:c>
      <x:c r="H43" s="43" t="str">
        <x:v>Não contatado</x:v>
      </x:c>
      <x:c r="I43" s="43"/>
      <x:c r="J43" s="43" t="str">
        <x:v>Não localizado em fonte pública confiável até 24/07/2026</x:v>
      </x:c>
      <x:c r="K43" s="43" t="str">
        <x:v>Não</x:v>
      </x:c>
      <x:c r="L43" s="43" t="str">
        <x:v>especialista ou revenda de vedações industriais</x:v>
      </x:c>
      <x:c r="M43" s="43" t="str">
        <x:v>máquinas, automotivo, químico, alimentos e manutenção industrial</x:v>
      </x:c>
      <x:c r="N43" s="43" t="str">
        <x:v>gaxetas, raspadores, anéis guia, vedações de haste e pistão, retentores especiais e reposições fora de linha</x:v>
      </x:c>
      <x:c r="O43" s="43" t="str">
        <x:v>peças sob medida em PTFE puro ou carregado, poliuretano, NBR, FKM, nylon e outros materiais técnicos</x:v>
      </x:c>
      <x:c r="P43" s="43" t="str">
        <x:v>complementar o portfólio com itens especiais, pequenas e médias séries, urgências e fabricação por desenho ou amostra</x:v>
      </x:c>
      <x:c r="Q43" s="43" t="str">
        <x:v>Segmento da base: Vedações; localização: Barretos/SP; contexto industrial regional usado apenas como hipótese comercial. Sem e-mail público localizado. Nenhuma afirmação sobre clientes ou aplicações específicas da empresa foi feita sem fonte.</x:v>
      </x:c>
      <x:c r="R43" s="43" t="str">
        <x:v>Baixa</x:v>
      </x:c>
      <x:c r="S43" s="43" t="str">
        <x:v>Sim</x:v>
      </x:c>
      <x:c r="T43" s="43" t="str">
        <x:v>Apoio em vedações sob medida para a Vedasa Materiais</x:v>
      </x:c>
      <x:c r="U43" s="43" t="str">
        <x:v>Olá, equipe da Vedasa Materiais,</x:v>
      </x:c>
      <x:c r="V43" s="43" t="str">
        <x:v>Olá, equipe da Vedasa Materiais,
A Parts Seals está ampliando parcerias com empresas técnicas do setor, e o perfil da Vedasa Materiais chamou nossa atenção pela atuação em vedações.
Em Barretos/SP,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43" s="43" t="str">
        <x:v>Olá, equipe da Vedasa Materiais,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43" s="43" t="str">
        <x:v>Olá, equipe da Vedasa Materiais,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43" s="43" t="str">
        <x:v>Vocês recebem consultas de peças especiais que acabam sem atendimento por prazo, material, quantidade ou ausência de desenho?</x:v>
      </x:c>
      <x:c r="Z43" s="43" t="str">
        <x:v>Este contato foi direcionado a um canal corporativo público por possível aderência entre as atividades das empresas. Para não receber novas mensagens da Parts Seals, responda com REMOVER.</x:v>
      </x:c>
      <x:c r="AA43" s="43" t="str">
        <x:v>Sem e-mail</x:v>
      </x:c>
      <x:c r="AB43" s="43" t="str">
        <x:v>Não</x:v>
      </x:c>
      <x:c r="AC43" s="44"/>
      <x:c r="AD43" s="44"/>
      <x:c r="AE43" s="44"/>
      <x:c r="AF43" s="44"/>
      <x:c r="AG43" s="43"/>
      <x:c r="AH43" s="43"/>
      <x:c r="AI43" s="43" t="str">
        <x:v>Não</x:v>
      </x:c>
      <x:c r="AJ43" s="43"/>
      <x:c r="AK43" s="43"/>
      <x:c r="AL43" s="43" t="str">
        <x:v>https://perfildaindustria.portaldaindustria.com.br/estado/tudo/sp</x:v>
      </x:c>
      <x:c r="AM43" s="43" t="str">
        <x:v>Não localizado em fonte pública confiável até 24/07/2026</x:v>
      </x:c>
      <x:c r="AN43" s="43" t="str">
        <x:v>Pesquise a empresa Vedasa Materiais, de Barretos/SP,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43" s="43" t="str">
        <x:v>2026-07-24 v1</x:v>
      </x:c>
    </x:row>
    <x:row r="44" ht="72" customHeight="1">
      <x:c r="A44" s="43" t="n">
        <x:v>43</x:v>
      </x:c>
      <x:c r="B44" s="43" t="str">
        <x:v>RC Vedações</x:v>
      </x:c>
      <x:c r="C44" s="43" t="str">
        <x:v>Fabricante/Vedações</x:v>
      </x:c>
      <x:c r="D44" s="43" t="str">
        <x:v>Bauru</x:v>
      </x:c>
      <x:c r="E44" s="43" t="str">
        <x:v>SP</x:v>
      </x:c>
      <x:c r="F44" s="43" t="str">
        <x:v>Sudeste</x:v>
      </x:c>
      <x:c r="G44" s="43" t="str">
        <x:v>Sem dados - qualificar</x:v>
      </x:c>
      <x:c r="H44" s="43" t="str">
        <x:v>Não contatado</x:v>
      </x:c>
      <x:c r="I44" s="43" t="str">
        <x:v>rcvedacoes@hotmail.com</x:v>
      </x:c>
      <x:c r="J44" s="43" t="str">
        <x:v>https://www.solutudo.com.br/empresas/sp/bauru/industrias/rc-vedacoes-224474</x:v>
      </x:c>
      <x:c r="K44" s="43" t="str">
        <x:v>Sim</x:v>
      </x:c>
      <x:c r="L44" s="43" t="str">
        <x:v>fabricante ou transformador especializado em vedações</x:v>
      </x:c>
      <x:c r="M44" s="43" t="str">
        <x:v>máquinas, automotivo, químico, alimentos e manutenção industrial</x:v>
      </x:c>
      <x:c r="N44" s="43" t="str">
        <x:v>itens fora de padrão, picos de demanda, protótipos, reposições urgentes e lotes que exigem processo ou material específico</x:v>
      </x:c>
      <x:c r="O44" s="43" t="str">
        <x:v>componentes usinados e moldados em PTFE puro ou carregado, PU, NBR, FKM e materiais técnicos, conforme desenho ou amostra</x:v>
      </x:c>
      <x:c r="P44" s="43" t="str">
        <x:v>atuar como apoio produtivo complementar, preservando a relação comercial de vocês com o cliente final</x:v>
      </x:c>
      <x:c r="Q44" s="43" t="str">
        <x:v>Segmento da base: Fabricante/Vedações; localização: Bauru/SP; contexto industrial regional usado apenas como hipótese comercial. Fonte pública associada à empresa. Nenhuma afirmação sobre clientes ou aplicações específicas da empresa foi feita sem fonte.</x:v>
      </x:c>
      <x:c r="R44" s="43" t="str">
        <x:v>Moderada</x:v>
      </x:c>
      <x:c r="S44" s="43" t="str">
        <x:v>Sim</x:v>
      </x:c>
      <x:c r="T44" s="43" t="str">
        <x:v>Itens urgentes ou fora de padrão — RC Vedações</x:v>
      </x:c>
      <x:c r="U44" s="43" t="str">
        <x:v>Olá, equipe da RC Vedações,</x:v>
      </x:c>
      <x:c r="V44" s="43" t="str">
        <x:v>Olá, equipe da RC Vedações,
Gostaria de apresentar uma possibilidade de apoio complementar à RC Vedações para peças especiais, urgências e reposições fora de catálogo.
Em Bauru/SP, cadeias como máquinas, automotivo, químico, alimentos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44" s="43" t="str">
        <x:v>Olá, equipe da RC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44" s="43" t="str">
        <x:v>Olá, equipe da RC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44" s="43" t="str">
        <x:v>Existe hoje algum item especial, urgente ou de baixa quantidade que esteja ocupando capacidade ou ficando sem atendimento?</x:v>
      </x:c>
      <x:c r="Z44" s="43" t="str">
        <x:v>Este contato foi direcionado a um canal corporativo público por possível aderência entre as atividades das empresas. Para não receber novas mensagens da Parts Seals, responda com REMOVER.</x:v>
      </x:c>
      <x:c r="AA44" s="43" t="str">
        <x:v>Aguardando aprovação</x:v>
      </x:c>
      <x:c r="AB44" s="43" t="str">
        <x:v>Não</x:v>
      </x:c>
      <x:c r="AC44" s="44"/>
      <x:c r="AD44" s="44"/>
      <x:c r="AE44" s="44"/>
      <x:c r="AF44" s="44"/>
      <x:c r="AG44" s="43"/>
      <x:c r="AH44" s="43"/>
      <x:c r="AI44" s="43" t="str">
        <x:v>Não</x:v>
      </x:c>
      <x:c r="AJ44" s="43"/>
      <x:c r="AK44" s="43"/>
      <x:c r="AL44" s="43" t="str">
        <x:v>https://perfildaindustria.portaldaindustria.com.br/estado/tudo/sp</x:v>
      </x:c>
      <x:c r="AM44" s="43" t="str">
        <x:v>https://www.solutudo.com.br/empresas/sp/bauru/industrias/rc-vedacoes-224474</x:v>
      </x:c>
      <x:c r="AN44" s="43" t="str">
        <x:v>Pesquise a empresa RC Vedações, de Bauru/SP,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44" s="43" t="str">
        <x:v>2026-07-24 v1</x:v>
      </x:c>
    </x:row>
    <x:row r="45" ht="72" customHeight="1">
      <x:c r="A45" s="43" t="n">
        <x:v>44</x:v>
      </x:c>
      <x:c r="B45" s="43" t="str">
        <x:v>Ved Ben Vedações Industriais</x:v>
      </x:c>
      <x:c r="C45" s="43" t="str">
        <x:v>Vedações</x:v>
      </x:c>
      <x:c r="D45" s="43" t="str">
        <x:v>Bauru</x:v>
      </x:c>
      <x:c r="E45" s="43" t="str">
        <x:v>SP</x:v>
      </x:c>
      <x:c r="F45" s="43" t="str">
        <x:v>Sudeste</x:v>
      </x:c>
      <x:c r="G45" s="43" t="str">
        <x:v>B - Média</x:v>
      </x:c>
      <x:c r="H45" s="43" t="str">
        <x:v>Não contatado</x:v>
      </x:c>
      <x:c r="I45" s="43" t="str">
        <x:v>vendas@vedben.com.br</x:v>
      </x:c>
      <x:c r="J45" s="43" t="str">
        <x:v>https://vedben.com.br/</x:v>
      </x:c>
      <x:c r="K45" s="43" t="str">
        <x:v>Sim</x:v>
      </x:c>
      <x:c r="L45" s="43" t="str">
        <x:v>especialista ou revenda de vedações industriais</x:v>
      </x:c>
      <x:c r="M45" s="43" t="str">
        <x:v>máquinas, automotivo, químico, alimentos e manutenção industrial</x:v>
      </x:c>
      <x:c r="N45" s="43" t="str">
        <x:v>gaxetas, raspadores, anéis guia, vedações de haste e pistão, retentores especiais e reposições fora de linha</x:v>
      </x:c>
      <x:c r="O45" s="43" t="str">
        <x:v>peças sob medida em PTFE puro ou carregado, poliuretano, NBR, FKM, nylon e outros materiais técnicos</x:v>
      </x:c>
      <x:c r="P45" s="43" t="str">
        <x:v>complementar o portfólio com itens especiais, pequenas e médias séries, urgências e fabricação por desenho ou amostra</x:v>
      </x:c>
      <x:c r="Q45" s="43" t="str">
        <x:v>Segmento da base: Vedações; localização: Bauru/SP; contexto industrial regional usado apenas como hipótese comercial. Domínio do e-mail coincide com a fonte oficial. Nenhuma afirmação sobre clientes ou aplicações específicas da empresa foi feita sem fonte.</x:v>
      </x:c>
      <x:c r="R45" s="43" t="str">
        <x:v>Alta</x:v>
      </x:c>
      <x:c r="S45" s="43" t="str">
        <x:v>Recomendada</x:v>
      </x:c>
      <x:c r="T45" s="43" t="str">
        <x:v>Peças especiais para complementar o atendimento da Ved Ben Vedações Industriais</x:v>
      </x:c>
      <x:c r="U45" s="43" t="str">
        <x:v>Olá, equipe da Ved Ben Vedações Industriais,</x:v>
      </x:c>
      <x:c r="V45" s="43" t="str">
        <x:v>Olá, equipe da Ved Ben Vedações Industriais,
Estou entrando em contato porque a atuação da Ved Ben Vedações Industriais em vedações tem boa aderência ao tipo de fabricação especial que realizamos na Parts Seals.
Em Bauru/SP,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45" s="43" t="str">
        <x:v>Olá, equipe da Ved Ben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45" s="43" t="str">
        <x:v>Olá, equipe da Ved Ben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45" s="43" t="str">
        <x:v>Vocês recebem consultas de peças especiais que acabam sem atendimento por prazo, material, quantidade ou ausência de desenho?</x:v>
      </x:c>
      <x:c r="Z45" s="43" t="str">
        <x:v>Este contato foi direcionado a um canal corporativo público por possível aderência entre as atividades das empresas. Para não receber novas mensagens da Parts Seals, responda com REMOVER.</x:v>
      </x:c>
      <x:c r="AA45" s="43" t="str">
        <x:v>Aguardando aprovação</x:v>
      </x:c>
      <x:c r="AB45" s="43" t="str">
        <x:v>Não</x:v>
      </x:c>
      <x:c r="AC45" s="44"/>
      <x:c r="AD45" s="44"/>
      <x:c r="AE45" s="44"/>
      <x:c r="AF45" s="44"/>
      <x:c r="AG45" s="43"/>
      <x:c r="AH45" s="43"/>
      <x:c r="AI45" s="43" t="str">
        <x:v>Não</x:v>
      </x:c>
      <x:c r="AJ45" s="43"/>
      <x:c r="AK45" s="43"/>
      <x:c r="AL45" s="43" t="str">
        <x:v>https://perfildaindustria.portaldaindustria.com.br/estado/tudo/sp</x:v>
      </x:c>
      <x:c r="AM45" s="43" t="str">
        <x:v>https://vedben.com.br/</x:v>
      </x:c>
      <x:c r="AN45" s="43" t="str">
        <x:v>Pesquise a empresa Ved Ben Vedações Industriais, de Bauru/SP,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45" s="43" t="str">
        <x:v>2026-07-24 v1</x:v>
      </x:c>
    </x:row>
    <x:row r="46" ht="72" customHeight="1">
      <x:c r="A46" s="43" t="n">
        <x:v>45</x:v>
      </x:c>
      <x:c r="B46" s="43" t="str">
        <x:v>CHP Componentes Hidráulicos</x:v>
      </x:c>
      <x:c r="C46" s="43" t="str">
        <x:v>Hidráulica</x:v>
      </x:c>
      <x:c r="D46" s="43" t="str">
        <x:v>Campinas</x:v>
      </x:c>
      <x:c r="E46" s="43" t="str">
        <x:v>SP</x:v>
      </x:c>
      <x:c r="F46" s="43" t="str">
        <x:v>Sudeste</x:v>
      </x:c>
      <x:c r="G46" s="43" t="str">
        <x:v>B - Média</x:v>
      </x:c>
      <x:c r="H46" s="43" t="str">
        <x:v>Não contatado</x:v>
      </x:c>
      <x:c r="I46" s="43" t="str">
        <x:v>chpmkthidraulica@gmail.com</x:v>
      </x:c>
      <x:c r="J46" s="43" t="str">
        <x:v>https://www.facebook.com/chpcentralhidraulicaepneumatica/</x:v>
      </x:c>
      <x:c r="K46" s="43" t="str">
        <x:v>Sim</x:v>
      </x:c>
      <x:c r="L46" s="43" t="str">
        <x:v>fornecedor de soluções hidráulicas</x:v>
      </x:c>
      <x:c r="M46" s="43" t="str">
        <x:v>máquinas e equipamentos, químico, alimentos, tecnologia e manutenção industrial</x:v>
      </x:c>
      <x:c r="N46" s="43" t="str">
        <x:v>vedações de cilindros, raspadores, anéis guia, gaxetas e componentes de reposição</x:v>
      </x:c>
      <x:c r="O46" s="43" t="str">
        <x:v>componentes em PU, PTFE, NBR e FKM fabricados conforme alojamento, pressão e fluido</x:v>
      </x:c>
      <x:c r="P46" s="43" t="str">
        <x:v>reduzir a dependência de itens catalogados quando a medida, o material ou o prazo exigem fabricação especial</x:v>
      </x:c>
      <x:c r="Q46" s="43" t="str">
        <x:v>Segmento da base: Hidráulica; localização: Campinas/SP; contexto industrial regional usado apenas como hipótese comercial. Contato publicado em perfil ou diretório institucional. Nenhuma afirmação sobre clientes ou aplicações específicas da empresa foi feita sem fonte.</x:v>
      </x:c>
      <x:c r="R46" s="43" t="str">
        <x:v>Moderada</x:v>
      </x:c>
      <x:c r="S46" s="43" t="str">
        <x:v>Sim</x:v>
      </x:c>
      <x:c r="T46" s="43" t="str">
        <x:v>Apoio em cilindros e medidas fora de catálogo</x:v>
      </x:c>
      <x:c r="U46" s="43" t="str">
        <x:v>Olá, equipe da CHP Componentes Hidráulicos,</x:v>
      </x:c>
      <x:c r="V46" s="43" t="str">
        <x:v>Olá, equipe da CHP Componentes Hidráulicos,
Ao analisar o perfil da CHP Componentes Hidráulicos em Campinas, identifiquei uma possibilidade de parceria para demandas de vedação que não se encaixam bem em linhas padronizadas.
Em Campinas/SP, cadeias como máquinas e equipamentos, químico, alimentos, tecnologia e manutenção industrial costumam gerar solicitações de vedações especiais, principalmente quando há pressão, desgaste, ataque químico, temperatura ou dificuldade de reposição. Para o perfil de fornecedor de soluções hidráulicas, vemos maior aderência em vedações de cilindros, raspadores, anéis guia, gaxetas e componentes de reposição.
A Parts Seals pode apoiar com componentes em PU, PTFE, NBR e FKM fabricados conforme alojamento, pressão e fluido. A seleção final do material é validada conforme a aplicação; para as demandas mais comuns da região, vale avaliar especialmente PTFE, PU, NBR e FKM. Nosso objetivo é reduzir a dependência de itens catalogados quando a medida, o material ou o prazo exigem fabricação especial.
Existe algum modelo de cilindro ou equipamento cuja reposição esteja difícil de encontrar no mercado?
Posso encaminhar uma apresentação curta ou avaliar um item real, sem compromisso?
Atenciosamente,
{{NOME_REMETENTE}}
Parts Seals Vedações Industriais
{{TELEFONE_REMETENTE}} | {{SITE_REMETENTE}}</x:v>
      </x:c>
      <x:c r="W46" s="43" t="str">
        <x:v>Olá, equipe da CHP Componentes Hidráulicos,
Retomando meu contato: pelo perfil de hidráulica de vocês, acredito que podemos apoiar principalmente em vedações de cilindros, raspadores, anéis guia, gaxetas e componentes de reposição.
Se tiverem uma medida, desenho ou foto de um item difícil de localizar, podemos fazer uma análise inicial e indicar o material mais adequado. Há algum caso em aberto que possamos avaliar?
Atenciosamente,
{{NOME_REMETENTE}}
Parts Seals Vedações Industriais</x:v>
      </x:c>
      <x:c r="X46" s="43" t="str">
        <x:v>Olá, equipe da CHP Componentes Hidráulicos,
Encerrando meu contato para não insistir. Caso surja alguma demanda de vedações de cilindros, raspadores, anéis guia, gaxetas e componentes de reposição,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46" s="43" t="str">
        <x:v>Existe algum modelo de cilindro ou equipamento cuja reposição esteja difícil de encontrar no mercado?</x:v>
      </x:c>
      <x:c r="Z46" s="43" t="str">
        <x:v>Este contato foi direcionado a um canal corporativo público por possível aderência entre as atividades das empresas. Para não receber novas mensagens da Parts Seals, responda com REMOVER.</x:v>
      </x:c>
      <x:c r="AA46" s="43" t="str">
        <x:v>Aguardando aprovação</x:v>
      </x:c>
      <x:c r="AB46" s="43" t="str">
        <x:v>Não</x:v>
      </x:c>
      <x:c r="AC46" s="44"/>
      <x:c r="AD46" s="44"/>
      <x:c r="AE46" s="44"/>
      <x:c r="AF46" s="44"/>
      <x:c r="AG46" s="43"/>
      <x:c r="AH46" s="43"/>
      <x:c r="AI46" s="43" t="str">
        <x:v>Não</x:v>
      </x:c>
      <x:c r="AJ46" s="43"/>
      <x:c r="AK46" s="43"/>
      <x:c r="AL46" s="43" t="str">
        <x:v>https://perfildaindustria.portaldaindustria.com.br/estado/tudo/sp</x:v>
      </x:c>
      <x:c r="AM46" s="43" t="str">
        <x:v>https://www.facebook.com/chpcentralhidraulicaepneumatica/</x:v>
      </x:c>
      <x:c r="AN46" s="43" t="str">
        <x:v>Pesquise a empresa CHP Componentes Hidráulicos, de Campinas/SP,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46" s="43" t="str">
        <x:v>2026-07-24 v1</x:v>
      </x:c>
    </x:row>
    <x:row r="47" ht="72" customHeight="1">
      <x:c r="A47" s="43" t="n">
        <x:v>46</x:v>
      </x:c>
      <x:c r="B47" s="43" t="str">
        <x:v>Componentes Comércio de Pneumática (IMI Norgren)</x:v>
      </x:c>
      <x:c r="C47" s="43" t="str">
        <x:v>Pneumática</x:v>
      </x:c>
      <x:c r="D47" s="43" t="str">
        <x:v>Campinas</x:v>
      </x:c>
      <x:c r="E47" s="43" t="str">
        <x:v>SP</x:v>
      </x:c>
      <x:c r="F47" s="43" t="str">
        <x:v>Sudeste</x:v>
      </x:c>
      <x:c r="G47" s="43" t="str">
        <x:v>B - Média</x:v>
      </x:c>
      <x:c r="H47" s="43" t="str">
        <x:v>Não contatado</x:v>
      </x:c>
      <x:c r="I47" s="43" t="str">
        <x:v>info@cpcomponentes.com.br</x:v>
      </x:c>
      <x:c r="J47" s="43" t="str">
        <x:v>https://cpcomponentes.com.br/empresa/</x:v>
      </x:c>
      <x:c r="K47" s="43" t="str">
        <x:v>Sim</x:v>
      </x:c>
      <x:c r="L47" s="43" t="str">
        <x:v>fornecedor de soluções pneumáticas</x:v>
      </x:c>
      <x:c r="M47" s="43" t="str">
        <x:v>máquinas e equipamentos, químico, alimentos, tecnologia e manutenção industrial</x:v>
      </x:c>
      <x:c r="N47" s="43" t="str">
        <x:v>vedações de baixo atrito, gaxetas, raspadores, anéis guia e componentes de atuadores</x:v>
      </x:c>
      <x:c r="O47" s="43" t="str">
        <x:v>peças em PTFE, PU, NBR e FKM dimensionadas conforme velocidade, pressão e fluido</x:v>
      </x:c>
      <x:c r="P47" s="43" t="str">
        <x:v>atender medidas especiais e reposições fora de catálogo sem exigir grandes lotes</x:v>
      </x:c>
      <x:c r="Q47" s="43" t="str">
        <x:v>Segmento da base: Pneumática; localização: Campinas/SP; contexto industrial regional usado apenas como hipótese comercial. Domínio do e-mail coincide com a fonte oficial. Nenhuma afirmação sobre clientes ou aplicações específicas da empresa foi feita sem fonte.</x:v>
      </x:c>
      <x:c r="R47" s="43" t="str">
        <x:v>Alta</x:v>
      </x:c>
      <x:c r="S47" s="43" t="str">
        <x:v>Recomendada</x:v>
      </x:c>
      <x:c r="T47" s="43" t="str">
        <x:v>Gaxetas, raspadores e anéis guia sob medida</x:v>
      </x:c>
      <x:c r="U47" s="43" t="str">
        <x:v>Olá, equipe da Componentes Comércio de Pneumática (IMI Norgren),</x:v>
      </x:c>
      <x:c r="V47" s="43" t="str">
        <x:v>Olá, equipe da Componentes Comércio de Pneumática (IMI Norgren),
A Parts Seals está ampliando parcerias com empresas técnicas do setor, e o perfil da Componentes Comércio de Pneumática (IMI Norgren) chamou nossa atenção pela atuação em pneumática.
Em Campinas/SP, cadeias como máquinas e equipamentos, químico, alimentos, tecnologia e manutenção industrial costumam gerar solicitações de vedações especiais, principalmente quando há pressão, desgaste, ataque químico, temperatura ou dificuldade de reposição. Para o perfil de fornecedor de soluções pneumáticas, vemos maior aderência em vedações de baixo atrito, gaxetas, raspadores, anéis guia e componentes de atuadores.
A Parts Seals pode apoiar com peças em PTFE, PU, NBR e FKM dimensionadas conforme velocidade, pressão e fluido. A seleção final do material é validada conforme a aplicação; para as demandas mais comuns da região, vale avaliar especialmente PTFE, PU, NBR e FKM. Nosso objetivo é atender medidas especiais e reposições fora de catálogo sem exigir grandes lotes.
Há atuadores ou equipamentos pneumáticos com vedações difíceis de localizar ou que exigem medida especial?
Posso encaminhar uma apresentação curta ou avaliar um item real, sem compromisso?
Atenciosamente,
{{NOME_REMETENTE}}
Parts Seals Vedações Industriais
{{TELEFONE_REMETENTE}} | {{SITE_REMETENTE}}</x:v>
      </x:c>
      <x:c r="W47" s="43" t="str">
        <x:v>Olá, equipe da Componentes Comércio de Pneumática (IMI Norgren),
Retomando meu contato: pelo perfil de pneumática de vocês, acredito que podemos apoiar principalmente em vedações de baixo atrito, gaxetas, raspadores, anéis guia e componentes de atuadores.
Se tiverem uma medida, desenho ou foto de um item difícil de localizar, podemos fazer uma análise inicial e indicar o material mais adequado. Há algum caso em aberto que possamos avaliar?
Atenciosamente,
{{NOME_REMETENTE}}
Parts Seals Vedações Industriais</x:v>
      </x:c>
      <x:c r="X47" s="43" t="str">
        <x:v>Olá, equipe da Componentes Comércio de Pneumática (IMI Norgren),
Encerrando meu contato para não insistir. Caso surja alguma demanda de vedações de baixo atrito, gaxetas, raspadores, anéis guia e componentes de atuadores,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47" s="43" t="str">
        <x:v>Há atuadores ou equipamentos pneumáticos com vedações difíceis de localizar ou que exigem medida especial?</x:v>
      </x:c>
      <x:c r="Z47" s="43" t="str">
        <x:v>Este contato foi direcionado a um canal corporativo público por possível aderência entre as atividades das empresas. Para não receber novas mensagens da Parts Seals, responda com REMOVER.</x:v>
      </x:c>
      <x:c r="AA47" s="43" t="str">
        <x:v>Aguardando aprovação</x:v>
      </x:c>
      <x:c r="AB47" s="43" t="str">
        <x:v>Não</x:v>
      </x:c>
      <x:c r="AC47" s="44"/>
      <x:c r="AD47" s="44"/>
      <x:c r="AE47" s="44"/>
      <x:c r="AF47" s="44"/>
      <x:c r="AG47" s="43"/>
      <x:c r="AH47" s="43"/>
      <x:c r="AI47" s="43" t="str">
        <x:v>Não</x:v>
      </x:c>
      <x:c r="AJ47" s="43"/>
      <x:c r="AK47" s="43"/>
      <x:c r="AL47" s="43" t="str">
        <x:v>https://perfildaindustria.portaldaindustria.com.br/estado/tudo/sp</x:v>
      </x:c>
      <x:c r="AM47" s="43" t="str">
        <x:v>https://cpcomponentes.com.br/empresa/</x:v>
      </x:c>
      <x:c r="AN47" s="43" t="str">
        <x:v>Pesquise a empresa Componentes Comércio de Pneumática (IMI Norgren), de Campinas/SP,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47" s="43" t="str">
        <x:v>2026-07-24 v1</x:v>
      </x:c>
    </x:row>
    <x:row r="48" ht="72" customHeight="1">
      <x:c r="A48" s="43" t="n">
        <x:v>47</x:v>
      </x:c>
      <x:c r="B48" s="43" t="str">
        <x:v>Dynamic Comércio de Hidráulica e Pneumática</x:v>
      </x:c>
      <x:c r="C48" s="43" t="str">
        <x:v>Hidráulica/Pneumática</x:v>
      </x:c>
      <x:c r="D48" s="43" t="str">
        <x:v>Campinas</x:v>
      </x:c>
      <x:c r="E48" s="43" t="str">
        <x:v>SP</x:v>
      </x:c>
      <x:c r="F48" s="43" t="str">
        <x:v>Sudeste</x:v>
      </x:c>
      <x:c r="G48" s="43" t="str">
        <x:v>B - Média</x:v>
      </x:c>
      <x:c r="H48" s="43" t="str">
        <x:v>Não contatado</x:v>
      </x:c>
      <x:c r="I48" s="43" t="str">
        <x:v>contato@dynamichp.com.br</x:v>
      </x:c>
      <x:c r="J48" s="43" t="str">
        <x:v>https://cnpjcheck.com.br/empresa/pdf/04886619000104</x:v>
      </x:c>
      <x:c r="K48" s="43" t="str">
        <x:v>Sim</x:v>
      </x:c>
      <x:c r="L48" s="43" t="str">
        <x:v>fornecedor de componentes hidráulicos e pneumáticos</x:v>
      </x:c>
      <x:c r="M48" s="43" t="str">
        <x:v>máquinas e equipamentos, químico, alimentos, tecnologia e manutenção industrial</x:v>
      </x:c>
      <x:c r="N48" s="43" t="str">
        <x:v>vedações de haste e pistão, raspadores, anéis guia e itens de baixo atrito</x:v>
      </x:c>
      <x:c r="O48" s="43" t="str">
        <x:v>peças em PU, PTFE, NBR e FKM desenvolvidas para pressão, velocidade e compatibilidade com o fluido</x:v>
      </x:c>
      <x:c r="P48" s="43" t="str">
        <x:v>fornecer medidas especiais e reposições fora de catálogo com fabricação por desenho ou amostra</x:v>
      </x:c>
      <x:c r="Q48" s="43" t="str">
        <x:v>Segmento da base: Hidráulica/Pneumática; localização: Campinas/SP; contexto industrial regional usado apenas como hipótese comercial. Fonte pública associada à empresa. Nenhuma afirmação sobre clientes ou aplicações específicas da empresa foi feita sem fonte.</x:v>
      </x:c>
      <x:c r="R48" s="43" t="str">
        <x:v>Moderada</x:v>
      </x:c>
      <x:c r="S48" s="43" t="str">
        <x:v>Sim</x:v>
      </x:c>
      <x:c r="T48" s="43" t="str">
        <x:v>Possível parceria técnica com a Dynamic Comércio de Hidráulica e Pneumática</x:v>
      </x:c>
      <x:c r="U48" s="43" t="str">
        <x:v>Olá, equipe da Dynamic Comércio de Hidráulica e Pneumática,</x:v>
      </x:c>
      <x:c r="V48" s="43" t="str">
        <x:v>Olá, equipe da Dynamic Comércio de Hidráulica e Pneumática,
Gostaria de apresentar uma possibilidade de apoio complementar à Dynamic Comércio de Hidráulica e Pneumática para peças especiais, urgências e reposições fora de catálogo.
Em Campinas/SP, cadeias como máquinas e equipamentos, químico, alimentos, tecnologia e manutenção industrial costumam gerar solicitações de vedações especiais, principalmente quando há pressão, desgaste, ataque químico, temperatura ou dificuldade de reposição. Para o perfil de fornecedor de componentes hidráulicos e pneumáticos, vemos maior aderência em vedações de haste e pistão, raspadores, anéis guia e itens de baixo atrito.
A Parts Seals pode apoiar com peças em PU, PTFE, NBR e FKM desenvolvidas para pressão, velocidade e compatibilidade com o fluido. A seleção final do material é validada conforme a aplicação; para as demandas mais comuns da região, vale avaliar especialmente PTFE, PU, NBR e FKM. Nosso objetivo é fornecer medidas especiais e reposições fora de catálogo com fabricação por desenho ou amostra.
Quais itens hidráulicos ou pneumáticos costumam gerar mais dificuldade de reposição para vocês?
Posso encaminhar uma apresentação curta ou avaliar um item real, sem compromisso?
Atenciosamente,
{{NOME_REMETENTE}}
Parts Seals Vedações Industriais
{{TELEFONE_REMETENTE}} | {{SITE_REMETENTE}}</x:v>
      </x:c>
      <x:c r="W48" s="43" t="str">
        <x:v>Olá, equipe da Dynamic Comércio de Hidráulica e Pneumática,
Retomando meu contato: pelo perfil de hidráulica/pneumática de vocês, acredito que podemos apoiar principalmente em vedações de haste e pistão, raspadores, anéis guia e itens de baixo atrito.
Se tiverem uma medida, desenho ou foto de um item difícil de localizar, podemos fazer uma análise inicial e indicar o material mais adequado. Há algum caso em aberto que possamos avaliar?
Atenciosamente,
{{NOME_REMETENTE}}
Parts Seals Vedações Industriais</x:v>
      </x:c>
      <x:c r="X48" s="43" t="str">
        <x:v>Olá, equipe da Dynamic Comércio de Hidráulica e Pneumática,
Encerrando meu contato para não insistir. Caso surja alguma demanda de vedações de haste e pistão, raspadores, anéis guia e itens de baixo atrito,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48" s="43" t="str">
        <x:v>Quais itens hidráulicos ou pneumáticos costumam gerar mais dificuldade de reposição para vocês?</x:v>
      </x:c>
      <x:c r="Z48" s="43" t="str">
        <x:v>Este contato foi direcionado a um canal corporativo público por possível aderência entre as atividades das empresas. Para não receber novas mensagens da Parts Seals, responda com REMOVER.</x:v>
      </x:c>
      <x:c r="AA48" s="43" t="str">
        <x:v>Aguardando aprovação</x:v>
      </x:c>
      <x:c r="AB48" s="43" t="str">
        <x:v>Não</x:v>
      </x:c>
      <x:c r="AC48" s="44"/>
      <x:c r="AD48" s="44"/>
      <x:c r="AE48" s="44"/>
      <x:c r="AF48" s="44"/>
      <x:c r="AG48" s="43"/>
      <x:c r="AH48" s="43"/>
      <x:c r="AI48" s="43" t="str">
        <x:v>Não</x:v>
      </x:c>
      <x:c r="AJ48" s="43"/>
      <x:c r="AK48" s="43"/>
      <x:c r="AL48" s="43" t="str">
        <x:v>https://perfildaindustria.portaldaindustria.com.br/estado/tudo/sp</x:v>
      </x:c>
      <x:c r="AM48" s="43" t="str">
        <x:v>https://cnpjcheck.com.br/empresa/pdf/04886619000104</x:v>
      </x:c>
      <x:c r="AN48" s="43" t="str">
        <x:v>Pesquise a empresa Dynamic Comércio de Hidráulica e Pneumática, de Campinas/SP,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48" s="43" t="str">
        <x:v>2026-07-24 v1</x:v>
      </x:c>
    </x:row>
    <x:row r="49" ht="72" customHeight="1">
      <x:c r="A49" s="43" t="n">
        <x:v>48</x:v>
      </x:c>
      <x:c r="B49" s="43" t="str">
        <x:v>G.S.O &amp; Vedacentro</x:v>
      </x:c>
      <x:c r="C49" s="43" t="str">
        <x:v>Fabricante/Vedações</x:v>
      </x:c>
      <x:c r="D49" s="43" t="str">
        <x:v>Campinas</x:v>
      </x:c>
      <x:c r="E49" s="43" t="str">
        <x:v>SP</x:v>
      </x:c>
      <x:c r="F49" s="43" t="str">
        <x:v>Sudeste</x:v>
      </x:c>
      <x:c r="G49" s="43" t="str">
        <x:v>C - Baixa</x:v>
      </x:c>
      <x:c r="H49" s="43" t="str">
        <x:v>Não contatado</x:v>
      </x:c>
      <x:c r="I49" s="43"/>
      <x:c r="J49" s="43" t="str">
        <x:v>Não localizado em fonte pública confiável até 24/07/2026</x:v>
      </x:c>
      <x:c r="K49" s="43" t="str">
        <x:v>Não</x:v>
      </x:c>
      <x:c r="L49" s="43" t="str">
        <x:v>fabricante ou transformador especializado em vedações</x:v>
      </x:c>
      <x:c r="M49" s="43" t="str">
        <x:v>máquinas e equipamentos, químico, alimentos, tecnologia e manutenção industrial</x:v>
      </x:c>
      <x:c r="N49" s="43" t="str">
        <x:v>itens fora de padrão, picos de demanda, protótipos, reposições urgentes e lotes que exigem processo ou material específico</x:v>
      </x:c>
      <x:c r="O49" s="43" t="str">
        <x:v>componentes usinados e moldados em PTFE puro ou carregado, PU, NBR, FKM e materiais técnicos, conforme desenho ou amostra</x:v>
      </x:c>
      <x:c r="P49" s="43" t="str">
        <x:v>atuar como apoio produtivo complementar, preservando a relação comercial de vocês com o cliente final</x:v>
      </x:c>
      <x:c r="Q49" s="43" t="str">
        <x:v>Segmento da base: Fabricante/Vedações; localização: Campinas/SP; contexto industrial regional usado apenas como hipótese comercial. Sem e-mail público localizado. Nenhuma afirmação sobre clientes ou aplicações específicas da empresa foi feita sem fonte.</x:v>
      </x:c>
      <x:c r="R49" s="43" t="str">
        <x:v>Baixa</x:v>
      </x:c>
      <x:c r="S49" s="43" t="str">
        <x:v>Sim</x:v>
      </x:c>
      <x:c r="T49" s="43" t="str">
        <x:v>Apoio produtivo para itens especiais — G.S.O &amp; Vedacentro</x:v>
      </x:c>
      <x:c r="U49" s="43" t="str">
        <x:v>Olá, equipe da G.S.O &amp; Vedacentro,</x:v>
      </x:c>
      <x:c r="V49" s="43" t="str">
        <x:v>Olá, equipe da G.S.O &amp; Vedacentro,
Estou entrando em contato porque a atuação da G.S.O &amp; Vedacentro em fabricante/vedações tem boa aderência ao tipo de fabricação especial que realizamos na Parts Seals.
Em Campinas/SP, cadeias como máquinas e equipamentos, químico, alimentos, tecnologia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PTFE, PU, NBR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49" s="43" t="str">
        <x:v>Olá, equipe da G.S.O &amp; Vedacentro,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49" s="43" t="str">
        <x:v>Olá, equipe da G.S.O &amp; Vedacentro,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49" s="43" t="str">
        <x:v>Existe hoje algum item especial, urgente ou de baixa quantidade que esteja ocupando capacidade ou ficando sem atendimento?</x:v>
      </x:c>
      <x:c r="Z49" s="43" t="str">
        <x:v>Este contato foi direcionado a um canal corporativo público por possível aderência entre as atividades das empresas. Para não receber novas mensagens da Parts Seals, responda com REMOVER.</x:v>
      </x:c>
      <x:c r="AA49" s="43" t="str">
        <x:v>Sem e-mail</x:v>
      </x:c>
      <x:c r="AB49" s="43" t="str">
        <x:v>Não</x:v>
      </x:c>
      <x:c r="AC49" s="44"/>
      <x:c r="AD49" s="44"/>
      <x:c r="AE49" s="44"/>
      <x:c r="AF49" s="44"/>
      <x:c r="AG49" s="43"/>
      <x:c r="AH49" s="43"/>
      <x:c r="AI49" s="43" t="str">
        <x:v>Não</x:v>
      </x:c>
      <x:c r="AJ49" s="43"/>
      <x:c r="AK49" s="43"/>
      <x:c r="AL49" s="43" t="str">
        <x:v>https://perfildaindustria.portaldaindustria.com.br/estado/tudo/sp</x:v>
      </x:c>
      <x:c r="AM49" s="43" t="str">
        <x:v>Não localizado em fonte pública confiável até 24/07/2026</x:v>
      </x:c>
      <x:c r="AN49" s="43" t="str">
        <x:v>Pesquise a empresa G.S.O &amp; Vedacentro, de Campinas/SP,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49" s="43" t="str">
        <x:v>2026-07-24 v1</x:v>
      </x:c>
    </x:row>
    <x:row r="50" ht="72" customHeight="1">
      <x:c r="A50" s="43" t="n">
        <x:v>49</x:v>
      </x:c>
      <x:c r="B50" s="43" t="str">
        <x:v>GCM Vedações e Acessórios Industriais</x:v>
      </x:c>
      <x:c r="C50" s="43" t="str">
        <x:v>Vedações</x:v>
      </x:c>
      <x:c r="D50" s="43" t="str">
        <x:v>Campinas</x:v>
      </x:c>
      <x:c r="E50" s="43" t="str">
        <x:v>SP</x:v>
      </x:c>
      <x:c r="F50" s="43" t="str">
        <x:v>Sudeste</x:v>
      </x:c>
      <x:c r="G50" s="43" t="str">
        <x:v>C - Baixa</x:v>
      </x:c>
      <x:c r="H50" s="43" t="str">
        <x:v>Não contatado</x:v>
      </x:c>
      <x:c r="I50" s="43"/>
      <x:c r="J50" s="43" t="str">
        <x:v>Não localizado em fonte pública confiável até 24/07/2026</x:v>
      </x:c>
      <x:c r="K50" s="43" t="str">
        <x:v>Não</x:v>
      </x:c>
      <x:c r="L50" s="43" t="str">
        <x:v>especialista ou revenda de vedações industriais</x:v>
      </x:c>
      <x:c r="M50" s="43" t="str">
        <x:v>máquinas e equipamentos, químico, alimentos, tecnologia e manutenção industrial</x:v>
      </x:c>
      <x:c r="N50" s="43" t="str">
        <x:v>gaxetas, raspadores, anéis guia, vedações de haste e pistão, retentores especiais e reposições fora de linha</x:v>
      </x:c>
      <x:c r="O50" s="43" t="str">
        <x:v>peças sob medida em PTFE puro ou carregado, poliuretano, NBR, FKM, nylon e outros materiais técnicos</x:v>
      </x:c>
      <x:c r="P50" s="43" t="str">
        <x:v>complementar o portfólio com itens especiais, pequenas e médias séries, urgências e fabricação por desenho ou amostra</x:v>
      </x:c>
      <x:c r="Q50" s="43" t="str">
        <x:v>Segmento da base: Vedações; localização: Campinas/SP; contexto industrial regional usado apenas como hipótese comercial. Sem e-mail público localizado. Nenhuma afirmação sobre clientes ou aplicações específicas da empresa foi feita sem fonte.</x:v>
      </x:c>
      <x:c r="R50" s="43" t="str">
        <x:v>Baixa</x:v>
      </x:c>
      <x:c r="S50" s="43" t="str">
        <x:v>Sim</x:v>
      </x:c>
      <x:c r="T50" s="43" t="str">
        <x:v>Possível parceria técnica — GCM Vedações e Acessórios Industriais e Parts Seals</x:v>
      </x:c>
      <x:c r="U50" s="43" t="str">
        <x:v>Olá, equipe da GCM Vedações e Acessórios Industriais,</x:v>
      </x:c>
      <x:c r="V50" s="43" t="str">
        <x:v>Olá, equipe da GCM Vedações e Acessórios Industriais,
Ao analisar o perfil da GCM Vedações e Acessórios Industriais em Campinas, identifiquei uma possibilidade de parceria para demandas de vedação que não se encaixam bem em linhas padronizadas.
Em Campinas/SP, cadeias como máquinas e equipamentos, químico, alimentos, tecnologia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PU,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50" s="43" t="str">
        <x:v>Olá, equipe da GCM Vedações e Acessórios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50" s="43" t="str">
        <x:v>Olá, equipe da GCM Vedações e Acessórios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50" s="43" t="str">
        <x:v>Vocês recebem consultas de peças especiais que acabam sem atendimento por prazo, material, quantidade ou ausência de desenho?</x:v>
      </x:c>
      <x:c r="Z50" s="43" t="str">
        <x:v>Este contato foi direcionado a um canal corporativo público por possível aderência entre as atividades das empresas. Para não receber novas mensagens da Parts Seals, responda com REMOVER.</x:v>
      </x:c>
      <x:c r="AA50" s="43" t="str">
        <x:v>Sem e-mail</x:v>
      </x:c>
      <x:c r="AB50" s="43" t="str">
        <x:v>Não</x:v>
      </x:c>
      <x:c r="AC50" s="44"/>
      <x:c r="AD50" s="44"/>
      <x:c r="AE50" s="44"/>
      <x:c r="AF50" s="44"/>
      <x:c r="AG50" s="43"/>
      <x:c r="AH50" s="43"/>
      <x:c r="AI50" s="43" t="str">
        <x:v>Não</x:v>
      </x:c>
      <x:c r="AJ50" s="43"/>
      <x:c r="AK50" s="43"/>
      <x:c r="AL50" s="43" t="str">
        <x:v>https://perfildaindustria.portaldaindustria.com.br/estado/tudo/sp</x:v>
      </x:c>
      <x:c r="AM50" s="43" t="str">
        <x:v>Não localizado em fonte pública confiável até 24/07/2026</x:v>
      </x:c>
      <x:c r="AN50" s="43" t="str">
        <x:v>Pesquise a empresa GCM Vedações e Acessórios Industriais, de Campinas/SP,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50" s="43" t="str">
        <x:v>2026-07-24 v1</x:v>
      </x:c>
    </x:row>
    <x:row r="51" ht="72" customHeight="1">
      <x:c r="A51" s="43" t="n">
        <x:v>50</x:v>
      </x:c>
      <x:c r="B51" s="43" t="str">
        <x:v>J.E. Vedações</x:v>
      </x:c>
      <x:c r="C51" s="43" t="str">
        <x:v>Vedações</x:v>
      </x:c>
      <x:c r="D51" s="43" t="str">
        <x:v>Campinas</x:v>
      </x:c>
      <x:c r="E51" s="43" t="str">
        <x:v>SP</x:v>
      </x:c>
      <x:c r="F51" s="43" t="str">
        <x:v>Sudeste</x:v>
      </x:c>
      <x:c r="G51" s="43" t="str">
        <x:v>C - Baixa</x:v>
      </x:c>
      <x:c r="H51" s="43" t="str">
        <x:v>Não contatado</x:v>
      </x:c>
      <x:c r="I51" s="43" t="str">
        <x:v>faleconosco@jevedacoes.com.br</x:v>
      </x:c>
      <x:c r="J51" s="43" t="str">
        <x:v>https://www.jevedacoes.com.br/</x:v>
      </x:c>
      <x:c r="K51" s="43" t="str">
        <x:v>Sim</x:v>
      </x:c>
      <x:c r="L51" s="43" t="str">
        <x:v>especialista ou revenda de vedações industriais</x:v>
      </x:c>
      <x:c r="M51" s="43" t="str">
        <x:v>máquinas e equipamentos, químico, alimentos, tecnologia e manutenção industrial</x:v>
      </x:c>
      <x:c r="N51" s="43" t="str">
        <x:v>gaxetas, raspadores, anéis guia, vedações de haste e pistão, retentores especiais e reposições fora de linha</x:v>
      </x:c>
      <x:c r="O51" s="43" t="str">
        <x:v>peças sob medida em PTFE puro ou carregado, poliuretano, NBR, FKM, nylon e outros materiais técnicos</x:v>
      </x:c>
      <x:c r="P51" s="43" t="str">
        <x:v>complementar o portfólio com itens especiais, pequenas e médias séries, urgências e fabricação por desenho ou amostra</x:v>
      </x:c>
      <x:c r="Q51" s="43" t="str">
        <x:v>Segmento da base: Vedações; localização: Campinas/SP; contexto industrial regional usado apenas como hipótese comercial. Domínio do e-mail coincide com a fonte oficial. Nenhuma afirmação sobre clientes ou aplicações específicas da empresa foi feita sem fonte.</x:v>
      </x:c>
      <x:c r="R51" s="43" t="str">
        <x:v>Alta</x:v>
      </x:c>
      <x:c r="S51" s="43" t="str">
        <x:v>Recomendada</x:v>
      </x:c>
      <x:c r="T51" s="43" t="str">
        <x:v>Apoio em vedações sob medida para a J.E. Vedações</x:v>
      </x:c>
      <x:c r="U51" s="43" t="str">
        <x:v>Olá, equipe da J.E. Vedações,</x:v>
      </x:c>
      <x:c r="V51" s="43" t="str">
        <x:v>Olá, equipe da J.E. Vedações,
A Parts Seals está ampliando parcerias com empresas técnicas do setor, e o perfil da J.E. Vedações chamou nossa atenção pela atuação em vedações.
Em Campinas/SP, cadeias como máquinas e equipamentos, químico, alimentos, tecnologia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PU,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51" s="43" t="str">
        <x:v>Olá, equipe da J.E.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51" s="43" t="str">
        <x:v>Olá, equipe da J.E.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51" s="43" t="str">
        <x:v>Vocês recebem consultas de peças especiais que acabam sem atendimento por prazo, material, quantidade ou ausência de desenho?</x:v>
      </x:c>
      <x:c r="Z51" s="43" t="str">
        <x:v>Este contato foi direcionado a um canal corporativo público por possível aderência entre as atividades das empresas. Para não receber novas mensagens da Parts Seals, responda com REMOVER.</x:v>
      </x:c>
      <x:c r="AA51" s="43" t="str">
        <x:v>Aguardando aprovação</x:v>
      </x:c>
      <x:c r="AB51" s="43" t="str">
        <x:v>Não</x:v>
      </x:c>
      <x:c r="AC51" s="44"/>
      <x:c r="AD51" s="44"/>
      <x:c r="AE51" s="44"/>
      <x:c r="AF51" s="44"/>
      <x:c r="AG51" s="43"/>
      <x:c r="AH51" s="43"/>
      <x:c r="AI51" s="43" t="str">
        <x:v>Não</x:v>
      </x:c>
      <x:c r="AJ51" s="43"/>
      <x:c r="AK51" s="43"/>
      <x:c r="AL51" s="43" t="str">
        <x:v>https://perfildaindustria.portaldaindustria.com.br/estado/tudo/sp</x:v>
      </x:c>
      <x:c r="AM51" s="43" t="str">
        <x:v>https://www.jevedacoes.com.br/</x:v>
      </x:c>
      <x:c r="AN51" s="43" t="str">
        <x:v>Pesquise a empresa J.E. Vedações, de Campinas/SP,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51" s="43" t="str">
        <x:v>2026-07-24 v1</x:v>
      </x:c>
    </x:row>
    <x:row r="52" ht="72" customHeight="1">
      <x:c r="A52" s="43" t="n">
        <x:v>51</x:v>
      </x:c>
      <x:c r="B52" s="43" t="str">
        <x:v>JSL Equipamentos Hidráulicos</x:v>
      </x:c>
      <x:c r="C52" s="43" t="str">
        <x:v>Hidráulica/Vedações</x:v>
      </x:c>
      <x:c r="D52" s="43" t="str">
        <x:v>Campinas</x:v>
      </x:c>
      <x:c r="E52" s="43" t="str">
        <x:v>SP</x:v>
      </x:c>
      <x:c r="F52" s="43" t="str">
        <x:v>Sudeste</x:v>
      </x:c>
      <x:c r="G52" s="43" t="str">
        <x:v>A - Alta</x:v>
      </x:c>
      <x:c r="H52" s="43" t="str">
        <x:v>Não contatado</x:v>
      </x:c>
      <x:c r="I52" s="43"/>
      <x:c r="J52" s="43" t="str">
        <x:v>Não localizado em fonte pública confiável até 24/07/2026</x:v>
      </x:c>
      <x:c r="K52" s="43" t="str">
        <x:v>Não</x:v>
      </x:c>
      <x:c r="L52" s="43" t="str">
        <x:v>fornecedor de componentes hidráulicos e vedações</x:v>
      </x:c>
      <x:c r="M52" s="43" t="str">
        <x:v>máquinas e equipamentos, químico, alimentos, tecnologia e manutenção industrial</x:v>
      </x:c>
      <x:c r="N52" s="43" t="str">
        <x:v>gaxetas de haste e pistão, raspadores, anéis guia, vedações rotativas e kits para cilindros hidráulicos</x:v>
      </x:c>
      <x:c r="O52" s="43" t="str">
        <x:v>vedações em PU, PTFE puro ou carregado, NBR e FKM, dimensionadas conforme pressão, velocidade, fluido e temperatura</x:v>
      </x:c>
      <x:c r="P52" s="43" t="str">
        <x:v>apoiar reformas e montagens com peças não padronizadas, reposições antigas e fabricação rápida por amostra ou desenho</x:v>
      </x:c>
      <x:c r="Q52" s="43" t="str">
        <x:v>Segmento da base: Hidráulica/Vedações; localização: Campinas/SP; contexto industrial regional usado apenas como hipótese comercial. Sem e-mail público localizado. Nenhuma afirmação sobre clientes ou aplicações específicas da empresa foi feita sem fonte.</x:v>
      </x:c>
      <x:c r="R52" s="43" t="str">
        <x:v>Baixa</x:v>
      </x:c>
      <x:c r="S52" s="43" t="str">
        <x:v>Sim</x:v>
      </x:c>
      <x:c r="T52" s="43" t="str">
        <x:v>Possível parceria técnica com a JSL Equipamentos Hidráulicos</x:v>
      </x:c>
      <x:c r="U52" s="43" t="str">
        <x:v>Olá, equipe da JSL Equipamentos Hidráulicos,</x:v>
      </x:c>
      <x:c r="V52" s="43" t="str">
        <x:v>Olá, equipe da JSL Equipamentos Hidráulicos,
Gostaria de apresentar uma possibilidade de apoio complementar à JSL Equipamentos Hidráulicos para peças especiais, urgências e reposições fora de catálogo.
Em Campinas/SP, cadeias como máquinas e equipamentos, químico, alimentos, tecnologia e manutenção industrial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PTFE, PU, NBR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52" s="43" t="str">
        <x:v>Olá, equipe da JSL Equipamentos Hidráulicos,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52" s="43" t="str">
        <x:v>Olá, equipe da JSL Equipamentos Hidráulicos,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52" s="43" t="str">
        <x:v>Há cilindros ou equipamentos para os quais vocês têm dificuldade de localizar a vedação correta ou cumprir o prazo do cliente?</x:v>
      </x:c>
      <x:c r="Z52" s="43" t="str">
        <x:v>Este contato foi direcionado a um canal corporativo público por possível aderência entre as atividades das empresas. Para não receber novas mensagens da Parts Seals, responda com REMOVER.</x:v>
      </x:c>
      <x:c r="AA52" s="43" t="str">
        <x:v>Sem e-mail</x:v>
      </x:c>
      <x:c r="AB52" s="43" t="str">
        <x:v>Não</x:v>
      </x:c>
      <x:c r="AC52" s="44"/>
      <x:c r="AD52" s="44"/>
      <x:c r="AE52" s="44"/>
      <x:c r="AF52" s="44"/>
      <x:c r="AG52" s="43"/>
      <x:c r="AH52" s="43"/>
      <x:c r="AI52" s="43" t="str">
        <x:v>Não</x:v>
      </x:c>
      <x:c r="AJ52" s="43"/>
      <x:c r="AK52" s="43"/>
      <x:c r="AL52" s="43" t="str">
        <x:v>https://perfildaindustria.portaldaindustria.com.br/estado/tudo/sp</x:v>
      </x:c>
      <x:c r="AM52" s="43" t="str">
        <x:v>Não localizado em fonte pública confiável até 24/07/2026</x:v>
      </x:c>
      <x:c r="AN52" s="43" t="str">
        <x:v>Pesquise a empresa JSL Equipamentos Hidráulicos, de Campinas/SP,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52" s="43" t="str">
        <x:v>2026-07-24 v1</x:v>
      </x:c>
    </x:row>
    <x:row r="53" ht="72" customHeight="1">
      <x:c r="A53" s="43" t="n">
        <x:v>52</x:v>
      </x:c>
      <x:c r="B53" s="43" t="str">
        <x:v>Parcamp - Distribuidor Parker</x:v>
      </x:c>
      <x:c r="C53" s="43" t="str">
        <x:v>Hidráulica/Vedações</x:v>
      </x:c>
      <x:c r="D53" s="43" t="str">
        <x:v>Campinas</x:v>
      </x:c>
      <x:c r="E53" s="43" t="str">
        <x:v>SP</x:v>
      </x:c>
      <x:c r="F53" s="43" t="str">
        <x:v>Sudeste</x:v>
      </x:c>
      <x:c r="G53" s="43" t="str">
        <x:v>B - Média</x:v>
      </x:c>
      <x:c r="H53" s="43" t="str">
        <x:v>Não contatado</x:v>
      </x:c>
      <x:c r="I53" s="43" t="str">
        <x:v>vendas@parcamp.com.br</x:v>
      </x:c>
      <x:c r="J53" s="43" t="str">
        <x:v>https://www.facebook.com/parcampparker/</x:v>
      </x:c>
      <x:c r="K53" s="43" t="str">
        <x:v>Sim</x:v>
      </x:c>
      <x:c r="L53" s="43" t="str">
        <x:v>fornecedor de componentes hidráulicos e vedações</x:v>
      </x:c>
      <x:c r="M53" s="43" t="str">
        <x:v>máquinas e equipamentos, químico, alimentos, tecnologia e manutenção industrial</x:v>
      </x:c>
      <x:c r="N53" s="43" t="str">
        <x:v>gaxetas de haste e pistão, raspadores, anéis guia, vedações rotativas e kits para cilindros hidráulicos</x:v>
      </x:c>
      <x:c r="O53" s="43" t="str">
        <x:v>vedações em PU, PTFE puro ou carregado, NBR e FKM, dimensionadas conforme pressão, velocidade, fluido e temperatura</x:v>
      </x:c>
      <x:c r="P53" s="43" t="str">
        <x:v>apoiar reformas e montagens com peças não padronizadas, reposições antigas e fabricação rápida por amostra ou desenho</x:v>
      </x:c>
      <x:c r="Q53" s="43" t="str">
        <x:v>Segmento da base: Hidráulica/Vedações; localização: Campinas/SP; contexto industrial regional usado apenas como hipótese comercial. Contato publicado em perfil ou diretório institucional. Nenhuma afirmação sobre clientes ou aplicações específicas da empresa foi feita sem fonte.</x:v>
      </x:c>
      <x:c r="R53" s="43" t="str">
        <x:v>Moderada</x:v>
      </x:c>
      <x:c r="S53" s="43" t="str">
        <x:v>Sim</x:v>
      </x:c>
      <x:c r="T53" s="43" t="str">
        <x:v>Vedações hidráulicas especiais para a Parcamp - Distribuidor Parker</x:v>
      </x:c>
      <x:c r="U53" s="43" t="str">
        <x:v>Olá, equipe da Parcamp - Distribuidor Parker,</x:v>
      </x:c>
      <x:c r="V53" s="43" t="str">
        <x:v>Olá, equipe da Parcamp - Distribuidor Parker,
Estou entrando em contato porque a atuação da Parcamp - Distribuidor Parker em hidráulica/vedações tem boa aderência ao tipo de fabricação especial que realizamos na Parts Seals.
Em Campinas/SP, cadeias como máquinas e equipamentos, químico, alimentos, tecnologia e manutenção industrial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PTFE, PU, NBR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53" s="43" t="str">
        <x:v>Olá, equipe da Parcamp - Distribuidor Parker,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53" s="43" t="str">
        <x:v>Olá, equipe da Parcamp - Distribuidor Parker,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53" s="43" t="str">
        <x:v>Há cilindros ou equipamentos para os quais vocês têm dificuldade de localizar a vedação correta ou cumprir o prazo do cliente?</x:v>
      </x:c>
      <x:c r="Z53" s="43" t="str">
        <x:v>Este contato foi direcionado a um canal corporativo público por possível aderência entre as atividades das empresas. Para não receber novas mensagens da Parts Seals, responda com REMOVER.</x:v>
      </x:c>
      <x:c r="AA53" s="43" t="str">
        <x:v>Aguardando aprovação</x:v>
      </x:c>
      <x:c r="AB53" s="43" t="str">
        <x:v>Não</x:v>
      </x:c>
      <x:c r="AC53" s="44"/>
      <x:c r="AD53" s="44"/>
      <x:c r="AE53" s="44"/>
      <x:c r="AF53" s="44"/>
      <x:c r="AG53" s="43"/>
      <x:c r="AH53" s="43"/>
      <x:c r="AI53" s="43" t="str">
        <x:v>Não</x:v>
      </x:c>
      <x:c r="AJ53" s="43"/>
      <x:c r="AK53" s="43"/>
      <x:c r="AL53" s="43" t="str">
        <x:v>https://perfildaindustria.portaldaindustria.com.br/estado/tudo/sp</x:v>
      </x:c>
      <x:c r="AM53" s="43" t="str">
        <x:v>https://www.facebook.com/parcampparker/</x:v>
      </x:c>
      <x:c r="AN53" s="43" t="str">
        <x:v>Pesquise a empresa Parcamp - Distribuidor Parker, de Campinas/SP,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53" s="43" t="str">
        <x:v>2026-07-24 v1</x:v>
      </x:c>
    </x:row>
    <x:row r="54" ht="72" customHeight="1">
      <x:c r="A54" s="43" t="n">
        <x:v>53</x:v>
      </x:c>
      <x:c r="B54" s="43" t="str">
        <x:v>Retenfix Indústria de Vedações</x:v>
      </x:c>
      <x:c r="C54" s="43" t="str">
        <x:v>Fabricante/Vedações</x:v>
      </x:c>
      <x:c r="D54" s="43" t="str">
        <x:v>Campinas</x:v>
      </x:c>
      <x:c r="E54" s="43" t="str">
        <x:v>SP</x:v>
      </x:c>
      <x:c r="F54" s="43" t="str">
        <x:v>Sudeste</x:v>
      </x:c>
      <x:c r="G54" s="43" t="str">
        <x:v>A - Alta</x:v>
      </x:c>
      <x:c r="H54" s="43" t="str">
        <x:v>Não contatado</x:v>
      </x:c>
      <x:c r="I54" s="43" t="str">
        <x:v>campinas@retenfixcampinas.com.br</x:v>
      </x:c>
      <x:c r="J54" s="43" t="str">
        <x:v>https://retenfix.com.br/contato/</x:v>
      </x:c>
      <x:c r="K54" s="43" t="str">
        <x:v>Sim</x:v>
      </x:c>
      <x:c r="L54" s="43" t="str">
        <x:v>fabricante ou transformador especializado em vedações</x:v>
      </x:c>
      <x:c r="M54" s="43" t="str">
        <x:v>máquinas e equipamentos, químico, alimentos, tecnologia e manutenção industrial</x:v>
      </x:c>
      <x:c r="N54" s="43" t="str">
        <x:v>itens fora de padrão, picos de demanda, protótipos, reposições urgentes e lotes que exigem processo ou material específico</x:v>
      </x:c>
      <x:c r="O54" s="43" t="str">
        <x:v>componentes usinados e moldados em PTFE puro ou carregado, PU, NBR, FKM e materiais técnicos, conforme desenho ou amostra</x:v>
      </x:c>
      <x:c r="P54" s="43" t="str">
        <x:v>atuar como apoio produtivo complementar, preservando a relação comercial de vocês com o cliente final</x:v>
      </x:c>
      <x:c r="Q54" s="43" t="str">
        <x:v>Segmento da base: Fabricante/Vedações; localização: Campinas/SP; contexto industrial regional usado apenas como hipótese comercial. Fonte pública associada à empresa. Nenhuma afirmação sobre clientes ou aplicações específicas da empresa foi feita sem fonte.</x:v>
      </x:c>
      <x:c r="R54" s="43" t="str">
        <x:v>Moderada</x:v>
      </x:c>
      <x:c r="S54" s="43" t="str">
        <x:v>Sim</x:v>
      </x:c>
      <x:c r="T54" s="43" t="str">
        <x:v>Parceria para picos de demanda e peças especiais</x:v>
      </x:c>
      <x:c r="U54" s="43" t="str">
        <x:v>Olá, equipe da Retenfix Indústria de Vedações,</x:v>
      </x:c>
      <x:c r="V54" s="43" t="str">
        <x:v>Olá, equipe da Retenfix Indústria de Vedações,
Ao analisar o perfil da Retenfix Indústria de Vedações em Campinas, identifiquei uma possibilidade de parceria para demandas de vedação que não se encaixam bem em linhas padronizadas.
Em Campinas/SP, cadeias como máquinas e equipamentos, químico, alimentos, tecnologia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PTFE, PU, NBR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54" s="43" t="str">
        <x:v>Olá, equipe da Retenfix Indústria de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54" s="43" t="str">
        <x:v>Olá, equipe da Retenfix Indústria de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54" s="43" t="str">
        <x:v>Existe hoje algum item especial, urgente ou de baixa quantidade que esteja ocupando capacidade ou ficando sem atendimento?</x:v>
      </x:c>
      <x:c r="Z54" s="43" t="str">
        <x:v>Este contato foi direcionado a um canal corporativo público por possível aderência entre as atividades das empresas. Para não receber novas mensagens da Parts Seals, responda com REMOVER.</x:v>
      </x:c>
      <x:c r="AA54" s="43" t="str">
        <x:v>Aguardando aprovação</x:v>
      </x:c>
      <x:c r="AB54" s="43" t="str">
        <x:v>Não</x:v>
      </x:c>
      <x:c r="AC54" s="44"/>
      <x:c r="AD54" s="44"/>
      <x:c r="AE54" s="44"/>
      <x:c r="AF54" s="44"/>
      <x:c r="AG54" s="43"/>
      <x:c r="AH54" s="43"/>
      <x:c r="AI54" s="43" t="str">
        <x:v>Não</x:v>
      </x:c>
      <x:c r="AJ54" s="43"/>
      <x:c r="AK54" s="43"/>
      <x:c r="AL54" s="43" t="str">
        <x:v>https://perfildaindustria.portaldaindustria.com.br/estado/tudo/sp</x:v>
      </x:c>
      <x:c r="AM54" s="43" t="str">
        <x:v>https://retenfix.com.br/contato/</x:v>
      </x:c>
      <x:c r="AN54" s="43" t="str">
        <x:v>Pesquise a empresa Retenfix Indústria de Vedações, de Campinas/SP,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54" s="43" t="str">
        <x:v>2026-07-24 v1</x:v>
      </x:c>
    </x:row>
    <x:row r="55" ht="72" customHeight="1">
      <x:c r="A55" s="43" t="n">
        <x:v>54</x:v>
      </x:c>
      <x:c r="B55" s="43" t="str">
        <x:v>Rope Automação Pneumática</x:v>
      </x:c>
      <x:c r="C55" s="43" t="str">
        <x:v>Pneumática</x:v>
      </x:c>
      <x:c r="D55" s="43" t="str">
        <x:v>Campinas</x:v>
      </x:c>
      <x:c r="E55" s="43" t="str">
        <x:v>SP</x:v>
      </x:c>
      <x:c r="F55" s="43" t="str">
        <x:v>Sudeste</x:v>
      </x:c>
      <x:c r="G55" s="43" t="str">
        <x:v>B - Média</x:v>
      </x:c>
      <x:c r="H55" s="43" t="str">
        <x:v>Não contatado</x:v>
      </x:c>
      <x:c r="I55" s="43" t="str">
        <x:v>contato@ropeautomacao.com.br</x:v>
      </x:c>
      <x:c r="J55" s="43" t="str">
        <x:v>https://ropeautomacao.com.br/contato/</x:v>
      </x:c>
      <x:c r="K55" s="43" t="str">
        <x:v>Sim</x:v>
      </x:c>
      <x:c r="L55" s="43" t="str">
        <x:v>fornecedor de soluções pneumáticas</x:v>
      </x:c>
      <x:c r="M55" s="43" t="str">
        <x:v>máquinas e equipamentos, químico, alimentos, tecnologia e manutenção industrial</x:v>
      </x:c>
      <x:c r="N55" s="43" t="str">
        <x:v>vedações de baixo atrito, gaxetas, raspadores, anéis guia e componentes de atuadores</x:v>
      </x:c>
      <x:c r="O55" s="43" t="str">
        <x:v>peças em PTFE, PU, NBR e FKM dimensionadas conforme velocidade, pressão e fluido</x:v>
      </x:c>
      <x:c r="P55" s="43" t="str">
        <x:v>atender medidas especiais e reposições fora de catálogo sem exigir grandes lotes</x:v>
      </x:c>
      <x:c r="Q55" s="43" t="str">
        <x:v>Segmento da base: Pneumática; localização: Campinas/SP; contexto industrial regional usado apenas como hipótese comercial. Domínio do e-mail coincide com a fonte oficial. Nenhuma afirmação sobre clientes ou aplicações específicas da empresa foi feita sem fonte.</x:v>
      </x:c>
      <x:c r="R55" s="43" t="str">
        <x:v>Alta</x:v>
      </x:c>
      <x:c r="S55" s="43" t="str">
        <x:v>Recomendada</x:v>
      </x:c>
      <x:c r="T55" s="43" t="str">
        <x:v>Gaxetas, raspadores e anéis guia sob medida</x:v>
      </x:c>
      <x:c r="U55" s="43" t="str">
        <x:v>Olá, equipe da Rope Automação Pneumática,</x:v>
      </x:c>
      <x:c r="V55" s="43" t="str">
        <x:v>Olá, equipe da Rope Automação Pneumática,
A Parts Seals está ampliando parcerias com empresas técnicas do setor, e o perfil da Rope Automação Pneumática chamou nossa atenção pela atuação em pneumática.
Em Campinas/SP, cadeias como máquinas e equipamentos, químico, alimentos, tecnologia e manutenção industrial costumam gerar solicitações de vedações especiais, principalmente quando há pressão, desgaste, ataque químico, temperatura ou dificuldade de reposição. Para o perfil de fornecedor de soluções pneumáticas, vemos maior aderência em vedações de baixo atrito, gaxetas, raspadores, anéis guia e componentes de atuadores.
A Parts Seals pode apoiar com peças em PTFE, PU, NBR e FKM dimensionadas conforme velocidade, pressão e fluido. A seleção final do material é validada conforme a aplicação; para as demandas mais comuns da região, vale avaliar especialmente PTFE, PU, NBR e FKM. Nosso objetivo é atender medidas especiais e reposições fora de catálogo sem exigir grandes lotes.
Há atuadores ou equipamentos pneumáticos com vedações difíceis de localizar ou que exigem medida especial?
Posso encaminhar uma apresentação curta ou avaliar um item real, sem compromisso?
Atenciosamente,
{{NOME_REMETENTE}}
Parts Seals Vedações Industriais
{{TELEFONE_REMETENTE}} | {{SITE_REMETENTE}}</x:v>
      </x:c>
      <x:c r="W55" s="43" t="str">
        <x:v>Olá, equipe da Rope Automação Pneumática,
Retomando meu contato: pelo perfil de pneumática de vocês, acredito que podemos apoiar principalmente em vedações de baixo atrito, gaxetas, raspadores, anéis guia e componentes de atuadores.
Se tiverem uma medida, desenho ou foto de um item difícil de localizar, podemos fazer uma análise inicial e indicar o material mais adequado. Há algum caso em aberto que possamos avaliar?
Atenciosamente,
{{NOME_REMETENTE}}
Parts Seals Vedações Industriais</x:v>
      </x:c>
      <x:c r="X55" s="43" t="str">
        <x:v>Olá, equipe da Rope Automação Pneumática,
Encerrando meu contato para não insistir. Caso surja alguma demanda de vedações de baixo atrito, gaxetas, raspadores, anéis guia e componentes de atuadores,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55" s="43" t="str">
        <x:v>Há atuadores ou equipamentos pneumáticos com vedações difíceis de localizar ou que exigem medida especial?</x:v>
      </x:c>
      <x:c r="Z55" s="43" t="str">
        <x:v>Este contato foi direcionado a um canal corporativo público por possível aderência entre as atividades das empresas. Para não receber novas mensagens da Parts Seals, responda com REMOVER.</x:v>
      </x:c>
      <x:c r="AA55" s="43" t="str">
        <x:v>Aguardando aprovação</x:v>
      </x:c>
      <x:c r="AB55" s="43" t="str">
        <x:v>Não</x:v>
      </x:c>
      <x:c r="AC55" s="44"/>
      <x:c r="AD55" s="44"/>
      <x:c r="AE55" s="44"/>
      <x:c r="AF55" s="44"/>
      <x:c r="AG55" s="43"/>
      <x:c r="AH55" s="43"/>
      <x:c r="AI55" s="43" t="str">
        <x:v>Não</x:v>
      </x:c>
      <x:c r="AJ55" s="43"/>
      <x:c r="AK55" s="43"/>
      <x:c r="AL55" s="43" t="str">
        <x:v>https://perfildaindustria.portaldaindustria.com.br/estado/tudo/sp</x:v>
      </x:c>
      <x:c r="AM55" s="43" t="str">
        <x:v>https://ropeautomacao.com.br/contato/</x:v>
      </x:c>
      <x:c r="AN55" s="43" t="str">
        <x:v>Pesquise a empresa Rope Automação Pneumática, de Campinas/SP,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55" s="43" t="str">
        <x:v>2026-07-24 v1</x:v>
      </x:c>
    </x:row>
    <x:row r="56" ht="72" customHeight="1">
      <x:c r="A56" s="43" t="n">
        <x:v>55</x:v>
      </x:c>
      <x:c r="B56" s="43" t="str">
        <x:v>Trion Parker Store</x:v>
      </x:c>
      <x:c r="C56" s="43" t="str">
        <x:v>Hidráulica/Vedações</x:v>
      </x:c>
      <x:c r="D56" s="43" t="str">
        <x:v>Campinas</x:v>
      </x:c>
      <x:c r="E56" s="43" t="str">
        <x:v>SP</x:v>
      </x:c>
      <x:c r="F56" s="43" t="str">
        <x:v>Sudeste</x:v>
      </x:c>
      <x:c r="G56" s="43" t="str">
        <x:v>Sem dados - qualificar</x:v>
      </x:c>
      <x:c r="H56" s="43" t="str">
        <x:v>Não contatado</x:v>
      </x:c>
      <x:c r="I56" s="43" t="str">
        <x:v>vendas@trioncomponentes.com.br</x:v>
      </x:c>
      <x:c r="J56" s="43" t="str">
        <x:v>https://trioncomponentes.com.br/empresa/</x:v>
      </x:c>
      <x:c r="K56" s="43" t="str">
        <x:v>Sim</x:v>
      </x:c>
      <x:c r="L56" s="43" t="str">
        <x:v>fornecedor de componentes hidráulicos e vedações</x:v>
      </x:c>
      <x:c r="M56" s="43" t="str">
        <x:v>máquinas e equipamentos, químico, alimentos, tecnologia e manutenção industrial</x:v>
      </x:c>
      <x:c r="N56" s="43" t="str">
        <x:v>gaxetas de haste e pistão, raspadores, anéis guia, vedações rotativas e kits para cilindros hidráulicos</x:v>
      </x:c>
      <x:c r="O56" s="43" t="str">
        <x:v>vedações em PU, PTFE puro ou carregado, NBR e FKM, dimensionadas conforme pressão, velocidade, fluido e temperatura</x:v>
      </x:c>
      <x:c r="P56" s="43" t="str">
        <x:v>apoiar reformas e montagens com peças não padronizadas, reposições antigas e fabricação rápida por amostra ou desenho</x:v>
      </x:c>
      <x:c r="Q56" s="43" t="str">
        <x:v>Segmento da base: Hidráulica/Vedações; localização: Campinas/SP; contexto industrial regional usado apenas como hipótese comercial. Domínio do e-mail coincide com a fonte oficial. Nenhuma afirmação sobre clientes ou aplicações específicas da empresa foi feita sem fonte.</x:v>
      </x:c>
      <x:c r="R56" s="43" t="str">
        <x:v>Alta</x:v>
      </x:c>
      <x:c r="S56" s="43" t="str">
        <x:v>Recomendada</x:v>
      </x:c>
      <x:c r="T56" s="43" t="str">
        <x:v>Possível parceria técnica com a Trion Parker Store</x:v>
      </x:c>
      <x:c r="U56" s="43" t="str">
        <x:v>Olá, equipe da Trion Parker Store,</x:v>
      </x:c>
      <x:c r="V56" s="43" t="str">
        <x:v>Olá, equipe da Trion Parker Store,
Gostaria de apresentar uma possibilidade de apoio complementar à Trion Parker Store para peças especiais, urgências e reposições fora de catálogo.
Em Campinas/SP, cadeias como máquinas e equipamentos, químico, alimentos, tecnologia e manutenção industrial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PTFE, PU, NBR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56" s="43" t="str">
        <x:v>Olá, equipe da Trion Parker Store,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56" s="43" t="str">
        <x:v>Olá, equipe da Trion Parker Store,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56" s="43" t="str">
        <x:v>Há cilindros ou equipamentos para os quais vocês têm dificuldade de localizar a vedação correta ou cumprir o prazo do cliente?</x:v>
      </x:c>
      <x:c r="Z56" s="43" t="str">
        <x:v>Este contato foi direcionado a um canal corporativo público por possível aderência entre as atividades das empresas. Para não receber novas mensagens da Parts Seals, responda com REMOVER.</x:v>
      </x:c>
      <x:c r="AA56" s="43" t="str">
        <x:v>Aguardando aprovação</x:v>
      </x:c>
      <x:c r="AB56" s="43" t="str">
        <x:v>Não</x:v>
      </x:c>
      <x:c r="AC56" s="44"/>
      <x:c r="AD56" s="44"/>
      <x:c r="AE56" s="44"/>
      <x:c r="AF56" s="44"/>
      <x:c r="AG56" s="43"/>
      <x:c r="AH56" s="43"/>
      <x:c r="AI56" s="43" t="str">
        <x:v>Não</x:v>
      </x:c>
      <x:c r="AJ56" s="43"/>
      <x:c r="AK56" s="43"/>
      <x:c r="AL56" s="43" t="str">
        <x:v>https://perfildaindustria.portaldaindustria.com.br/estado/tudo/sp</x:v>
      </x:c>
      <x:c r="AM56" s="43" t="str">
        <x:v>https://trioncomponentes.com.br/empresa/</x:v>
      </x:c>
      <x:c r="AN56" s="43" t="str">
        <x:v>Pesquise a empresa Trion Parker Store, de Campinas/SP,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56" s="43" t="str">
        <x:v>2026-07-24 v1</x:v>
      </x:c>
    </x:row>
    <x:row r="57" ht="72" customHeight="1">
      <x:c r="A57" s="43" t="n">
        <x:v>56</x:v>
      </x:c>
      <x:c r="B57" s="43" t="str">
        <x:v>Vedacamp Vedações</x:v>
      </x:c>
      <x:c r="C57" s="43" t="str">
        <x:v>Fabricante/Vedações</x:v>
      </x:c>
      <x:c r="D57" s="43" t="str">
        <x:v>Campinas</x:v>
      </x:c>
      <x:c r="E57" s="43" t="str">
        <x:v>SP</x:v>
      </x:c>
      <x:c r="F57" s="43" t="str">
        <x:v>Sudeste</x:v>
      </x:c>
      <x:c r="G57" s="43" t="str">
        <x:v>B - Média</x:v>
      </x:c>
      <x:c r="H57" s="43" t="str">
        <x:v>Não contatado</x:v>
      </x:c>
      <x:c r="I57" s="43" t="str">
        <x:v>contato@vedacamp.com</x:v>
      </x:c>
      <x:c r="J57" s="43" t="str">
        <x:v>https://vedacamp.com/contato.html</x:v>
      </x:c>
      <x:c r="K57" s="43" t="str">
        <x:v>Sim</x:v>
      </x:c>
      <x:c r="L57" s="43" t="str">
        <x:v>fabricante ou transformador especializado em vedações</x:v>
      </x:c>
      <x:c r="M57" s="43" t="str">
        <x:v>máquinas e equipamentos, químico, alimentos, tecnologia e manutenção industrial</x:v>
      </x:c>
      <x:c r="N57" s="43" t="str">
        <x:v>itens fora de padrão, picos de demanda, protótipos, reposições urgentes e lotes que exigem processo ou material específico</x:v>
      </x:c>
      <x:c r="O57" s="43" t="str">
        <x:v>componentes usinados e moldados em PTFE puro ou carregado, PU, NBR, FKM e materiais técnicos, conforme desenho ou amostra</x:v>
      </x:c>
      <x:c r="P57" s="43" t="str">
        <x:v>atuar como apoio produtivo complementar, preservando a relação comercial de vocês com o cliente final</x:v>
      </x:c>
      <x:c r="Q57" s="43" t="str">
        <x:v>Segmento da base: Fabricante/Vedações; localização: Campinas/SP; contexto industrial regional usado apenas como hipótese comercial. Domínio do e-mail coincide com a fonte oficial. Nenhuma afirmação sobre clientes ou aplicações específicas da empresa foi feita sem fonte.</x:v>
      </x:c>
      <x:c r="R57" s="43" t="str">
        <x:v>Alta</x:v>
      </x:c>
      <x:c r="S57" s="43" t="str">
        <x:v>Recomendada</x:v>
      </x:c>
      <x:c r="T57" s="43" t="str">
        <x:v>Apoio produtivo para itens especiais — Vedacamp Vedações</x:v>
      </x:c>
      <x:c r="U57" s="43" t="str">
        <x:v>Olá, equipe da Vedacamp Vedações,</x:v>
      </x:c>
      <x:c r="V57" s="43" t="str">
        <x:v>Olá, equipe da Vedacamp Vedações,
Estou entrando em contato porque a atuação da Vedacamp Vedações em fabricante/vedações tem boa aderência ao tipo de fabricação especial que realizamos na Parts Seals.
Em Campinas/SP, cadeias como máquinas e equipamentos, químico, alimentos, tecnologia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PTFE, PU, NBR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57" s="43" t="str">
        <x:v>Olá, equipe da Vedacamp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57" s="43" t="str">
        <x:v>Olá, equipe da Vedacamp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57" s="43" t="str">
        <x:v>Existe hoje algum item especial, urgente ou de baixa quantidade que esteja ocupando capacidade ou ficando sem atendimento?</x:v>
      </x:c>
      <x:c r="Z57" s="43" t="str">
        <x:v>Este contato foi direcionado a um canal corporativo público por possível aderência entre as atividades das empresas. Para não receber novas mensagens da Parts Seals, responda com REMOVER.</x:v>
      </x:c>
      <x:c r="AA57" s="43" t="str">
        <x:v>Aguardando aprovação</x:v>
      </x:c>
      <x:c r="AB57" s="43" t="str">
        <x:v>Não</x:v>
      </x:c>
      <x:c r="AC57" s="44"/>
      <x:c r="AD57" s="44"/>
      <x:c r="AE57" s="44"/>
      <x:c r="AF57" s="44"/>
      <x:c r="AG57" s="43"/>
      <x:c r="AH57" s="43"/>
      <x:c r="AI57" s="43" t="str">
        <x:v>Não</x:v>
      </x:c>
      <x:c r="AJ57" s="43"/>
      <x:c r="AK57" s="43"/>
      <x:c r="AL57" s="43" t="str">
        <x:v>https://perfildaindustria.portaldaindustria.com.br/estado/tudo/sp</x:v>
      </x:c>
      <x:c r="AM57" s="43" t="str">
        <x:v>https://vedacamp.com/contato.html</x:v>
      </x:c>
      <x:c r="AN57" s="43" t="str">
        <x:v>Pesquise a empresa Vedacamp Vedações, de Campinas/SP,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57" s="43" t="str">
        <x:v>2026-07-24 v1</x:v>
      </x:c>
    </x:row>
    <x:row r="58" ht="72" customHeight="1">
      <x:c r="A58" s="43" t="n">
        <x:v>57</x:v>
      </x:c>
      <x:c r="B58" s="43" t="str">
        <x:v>Rolamentos e Retentores Rodema</x:v>
      </x:c>
      <x:c r="C58" s="43" t="str">
        <x:v>Rolamentos/Vedações</x:v>
      </x:c>
      <x:c r="D58" s="43" t="str">
        <x:v>Diadema</x:v>
      </x:c>
      <x:c r="E58" s="43" t="str">
        <x:v>SP</x:v>
      </x:c>
      <x:c r="F58" s="43" t="str">
        <x:v>Sudeste</x:v>
      </x:c>
      <x:c r="G58" s="43" t="str">
        <x:v>A - Alta</x:v>
      </x:c>
      <x:c r="H58" s="43" t="str">
        <x:v>Não contatado</x:v>
      </x:c>
      <x:c r="I58" s="43"/>
      <x:c r="J58" s="43" t="str">
        <x:v>Não localizado em fonte pública confiável até 24/07/2026</x:v>
      </x:c>
      <x:c r="K58" s="43" t="str">
        <x:v>Não</x:v>
      </x:c>
      <x:c r="L58" s="43" t="str">
        <x:v>distribuidor de rolamentos, retentores e vedações</x:v>
      </x:c>
      <x:c r="M58" s="43" t="str">
        <x:v>químico, plástico, metalmecânico e automotivo</x:v>
      </x:c>
      <x:c r="N58" s="43" t="str">
        <x:v>retentores especiais, anéis, vedações rotativas, kits e componentes para manutenção de máquinas</x:v>
      </x:c>
      <x:c r="O58" s="43" t="str">
        <x:v>peças especiais em NBR, FKM, PU e PTFE, inclusive medidas fora de catálogo</x:v>
      </x:c>
      <x:c r="P58" s="43" t="str">
        <x:v>complementar a linha padronizada com reposições especiais e itens descontinuados</x:v>
      </x:c>
      <x:c r="Q58" s="43" t="str">
        <x:v>Segmento da base: Rolamentos/Vedações; localização: Diadema/SP; contexto industrial regional usado apenas como hipótese comercial. Sem e-mail público localizado. Nenhuma afirmação sobre clientes ou aplicações específicas da empresa foi feita sem fonte.</x:v>
      </x:c>
      <x:c r="R58" s="43" t="str">
        <x:v>Baixa</x:v>
      </x:c>
      <x:c r="S58" s="43" t="str">
        <x:v>Sim</x:v>
      </x:c>
      <x:c r="T58" s="43" t="str">
        <x:v>Medidas fora de catálogo — apoio Parts Seals</x:v>
      </x:c>
      <x:c r="U58" s="43" t="str">
        <x:v>Olá, equipe da Rolamentos e Retentores Rodema,</x:v>
      </x:c>
      <x:c r="V58" s="43" t="str">
        <x:v>Olá, equipe da Rolamentos e Retentores Rodema,
Ao analisar o perfil da Rolamentos e Retentores Rodema em Diadema, identifiquei uma possibilidade de parceria para demandas de vedação que não se encaixam bem em linhas padronizadas.
Em Diadema/SP, cadeias como químico, plástico, metalmecânico e automotivo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PTFE, FKM, NBR e PU.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58" s="43" t="str">
        <x:v>Olá, equipe da Rolamentos e Retentores Rodema,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58" s="43" t="str">
        <x:v>Olá, equipe da Rolamentos e Retentores Rodema,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58" s="43" t="str">
        <x:v>Vocês têm pedidos de retentores ou vedações em medidas especiais que não encontram nos catálogos tradicionais?</x:v>
      </x:c>
      <x:c r="Z58" s="43" t="str">
        <x:v>Este contato foi direcionado a um canal corporativo público por possível aderência entre as atividades das empresas. Para não receber novas mensagens da Parts Seals, responda com REMOVER.</x:v>
      </x:c>
      <x:c r="AA58" s="43" t="str">
        <x:v>Sem e-mail</x:v>
      </x:c>
      <x:c r="AB58" s="43" t="str">
        <x:v>Não</x:v>
      </x:c>
      <x:c r="AC58" s="44"/>
      <x:c r="AD58" s="44"/>
      <x:c r="AE58" s="44"/>
      <x:c r="AF58" s="44"/>
      <x:c r="AG58" s="43"/>
      <x:c r="AH58" s="43"/>
      <x:c r="AI58" s="43" t="str">
        <x:v>Não</x:v>
      </x:c>
      <x:c r="AJ58" s="43"/>
      <x:c r="AK58" s="43"/>
      <x:c r="AL58" s="43" t="str">
        <x:v>https://perfildaindustria.portaldaindustria.com.br/estado/tudo/sp</x:v>
      </x:c>
      <x:c r="AM58" s="43" t="str">
        <x:v>Não localizado em fonte pública confiável até 24/07/2026</x:v>
      </x:c>
      <x:c r="AN58" s="43" t="str">
        <x:v>Pesquise a empresa Rolamentos e Retentores Rodema, de Diadema/SP,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58" s="43" t="str">
        <x:v>2026-07-24 v1</x:v>
      </x:c>
    </x:row>
    <x:row r="59" ht="72" customHeight="1">
      <x:c r="A59" s="43" t="n">
        <x:v>58</x:v>
      </x:c>
      <x:c r="B59" s="43" t="str">
        <x:v>Vedatec Vedações - Diadema</x:v>
      </x:c>
      <x:c r="C59" s="43" t="str">
        <x:v>Vedações</x:v>
      </x:c>
      <x:c r="D59" s="43" t="str">
        <x:v>Diadema</x:v>
      </x:c>
      <x:c r="E59" s="43" t="str">
        <x:v>SP</x:v>
      </x:c>
      <x:c r="F59" s="43" t="str">
        <x:v>Sudeste</x:v>
      </x:c>
      <x:c r="G59" s="43" t="str">
        <x:v>B - Média</x:v>
      </x:c>
      <x:c r="H59" s="43" t="str">
        <x:v>Não contatado</x:v>
      </x:c>
      <x:c r="I59" s="43"/>
      <x:c r="J59" s="43" t="str">
        <x:v>Não localizado em fonte pública confiável até 24/07/2026</x:v>
      </x:c>
      <x:c r="K59" s="43" t="str">
        <x:v>Não</x:v>
      </x:c>
      <x:c r="L59" s="43" t="str">
        <x:v>especialista ou revenda de vedações industriais</x:v>
      </x:c>
      <x:c r="M59" s="43" t="str">
        <x:v>químico, plástico, metalmecânico e automotivo</x:v>
      </x:c>
      <x:c r="N59" s="43" t="str">
        <x:v>gaxetas, raspadores, anéis guia, vedações de haste e pistão, retentores especiais e reposições fora de linha</x:v>
      </x:c>
      <x:c r="O59" s="43" t="str">
        <x:v>peças sob medida em PTFE puro ou carregado, poliuretano, NBR, FKM, nylon e outros materiais técnicos</x:v>
      </x:c>
      <x:c r="P59" s="43" t="str">
        <x:v>complementar o portfólio com itens especiais, pequenas e médias séries, urgências e fabricação por desenho ou amostra</x:v>
      </x:c>
      <x:c r="Q59" s="43" t="str">
        <x:v>Segmento da base: Vedações; localização: Diadema/SP; contexto industrial regional usado apenas como hipótese comercial. Sem e-mail público localizado. Nenhuma afirmação sobre clientes ou aplicações específicas da empresa foi feita sem fonte.</x:v>
      </x:c>
      <x:c r="R59" s="43" t="str">
        <x:v>Baixa</x:v>
      </x:c>
      <x:c r="S59" s="43" t="str">
        <x:v>Sim</x:v>
      </x:c>
      <x:c r="T59" s="43" t="str">
        <x:v>Apoio em vedações sob medida para a Vedatec Vedações - Diadema</x:v>
      </x:c>
      <x:c r="U59" s="43" t="str">
        <x:v>Olá, equipe da Vedatec Vedações - Diadema,</x:v>
      </x:c>
      <x:c r="V59" s="43" t="str">
        <x:v>Olá, equipe da Vedatec Vedações - Diadema,
A Parts Seals está ampliando parcerias com empresas técnicas do setor, e o perfil da Vedatec Vedações - Diadema chamou nossa atenção pela atuação em vedações.
Em Diadema/SP, cadeias como químico, plástico, metalmecânico e automotivo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FKM, NBR e PU.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59" s="43" t="str">
        <x:v>Olá, equipe da Vedatec Vedações - Diadema,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59" s="43" t="str">
        <x:v>Olá, equipe da Vedatec Vedações - Diadema,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59" s="43" t="str">
        <x:v>Vocês recebem consultas de peças especiais que acabam sem atendimento por prazo, material, quantidade ou ausência de desenho?</x:v>
      </x:c>
      <x:c r="Z59" s="43" t="str">
        <x:v>Este contato foi direcionado a um canal corporativo público por possível aderência entre as atividades das empresas. Para não receber novas mensagens da Parts Seals, responda com REMOVER.</x:v>
      </x:c>
      <x:c r="AA59" s="43" t="str">
        <x:v>Sem e-mail</x:v>
      </x:c>
      <x:c r="AB59" s="43" t="str">
        <x:v>Não</x:v>
      </x:c>
      <x:c r="AC59" s="44"/>
      <x:c r="AD59" s="44"/>
      <x:c r="AE59" s="44"/>
      <x:c r="AF59" s="44"/>
      <x:c r="AG59" s="43"/>
      <x:c r="AH59" s="43"/>
      <x:c r="AI59" s="43" t="str">
        <x:v>Não</x:v>
      </x:c>
      <x:c r="AJ59" s="43"/>
      <x:c r="AK59" s="43"/>
      <x:c r="AL59" s="43" t="str">
        <x:v>https://perfildaindustria.portaldaindustria.com.br/estado/tudo/sp</x:v>
      </x:c>
      <x:c r="AM59" s="43" t="str">
        <x:v>Não localizado em fonte pública confiável até 24/07/2026</x:v>
      </x:c>
      <x:c r="AN59" s="43" t="str">
        <x:v>Pesquise a empresa Vedatec Vedações - Diadema, de Diadema/SP,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59" s="43" t="str">
        <x:v>2026-07-24 v1</x:v>
      </x:c>
    </x:row>
    <x:row r="60" ht="72" customHeight="1">
      <x:c r="A60" s="43" t="n">
        <x:v>59</x:v>
      </x:c>
      <x:c r="B60" s="43" t="str">
        <x:v>Hidraufran Vedações</x:v>
      </x:c>
      <x:c r="C60" s="43" t="str">
        <x:v>Hidráulica/Vedações</x:v>
      </x:c>
      <x:c r="D60" s="43" t="str">
        <x:v>Franca</x:v>
      </x:c>
      <x:c r="E60" s="43" t="str">
        <x:v>SP</x:v>
      </x:c>
      <x:c r="F60" s="43" t="str">
        <x:v>Sudeste</x:v>
      </x:c>
      <x:c r="G60" s="43" t="str">
        <x:v>A - Alta</x:v>
      </x:c>
      <x:c r="H60" s="43" t="str">
        <x:v>Não contatado</x:v>
      </x:c>
      <x:c r="I60" s="43"/>
      <x:c r="J60" s="43" t="str">
        <x:v>Não localizado em fonte pública confiável até 24/07/2026</x:v>
      </x:c>
      <x:c r="K60" s="43" t="str">
        <x:v>Não</x:v>
      </x:c>
      <x:c r="L60" s="43" t="str">
        <x:v>fornecedor de componentes hidráulicos e vedações</x:v>
      </x:c>
      <x:c r="M60" s="43" t="str">
        <x:v>máquinas, automotivo, químico, alimentos e manutenção industrial</x:v>
      </x:c>
      <x:c r="N60" s="43" t="str">
        <x:v>gaxetas de haste e pistão, raspadores, anéis guia, vedações rotativas e kits para cilindros hidráulicos</x:v>
      </x:c>
      <x:c r="O60" s="43" t="str">
        <x:v>vedações em PU, PTFE puro ou carregado, NBR e FKM, dimensionadas conforme pressão, velocidade, fluido e temperatura</x:v>
      </x:c>
      <x:c r="P60" s="43" t="str">
        <x:v>apoiar reformas e montagens com peças não padronizadas, reposições antigas e fabricação rápida por amostra ou desenho</x:v>
      </x:c>
      <x:c r="Q60" s="43" t="str">
        <x:v>Segmento da base: Hidráulica/Vedações; localização: Franca/SP; contexto industrial regional usado apenas como hipótese comercial. Sem e-mail público localizado. Nenhuma afirmação sobre clientes ou aplicações específicas da empresa foi feita sem fonte.</x:v>
      </x:c>
      <x:c r="R60" s="43" t="str">
        <x:v>Baixa</x:v>
      </x:c>
      <x:c r="S60" s="43" t="str">
        <x:v>Sim</x:v>
      </x:c>
      <x:c r="T60" s="43" t="str">
        <x:v>Possível parceria técnica com a Hidraufran Vedações</x:v>
      </x:c>
      <x:c r="U60" s="43" t="str">
        <x:v>Olá, equipe da Hidraufran Vedações,</x:v>
      </x:c>
      <x:c r="V60" s="43" t="str">
        <x:v>Olá, equipe da Hidraufran Vedações,
Gostaria de apresentar uma possibilidade de apoio complementar à Hidraufran Vedações para peças especiais, urgências e reposições fora de catálogo.
Em Franca/SP, cadeias como máquinas, automotivo, químico, alimentos e manutenção industrial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PU, NBR,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60" s="43" t="str">
        <x:v>Olá, equipe da Hidraufran Vedações,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60" s="43" t="str">
        <x:v>Olá, equipe da Hidraufran Vedações,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60" s="43" t="str">
        <x:v>Há cilindros ou equipamentos para os quais vocês têm dificuldade de localizar a vedação correta ou cumprir o prazo do cliente?</x:v>
      </x:c>
      <x:c r="Z60" s="43" t="str">
        <x:v>Este contato foi direcionado a um canal corporativo público por possível aderência entre as atividades das empresas. Para não receber novas mensagens da Parts Seals, responda com REMOVER.</x:v>
      </x:c>
      <x:c r="AA60" s="43" t="str">
        <x:v>Sem e-mail</x:v>
      </x:c>
      <x:c r="AB60" s="43" t="str">
        <x:v>Não</x:v>
      </x:c>
      <x:c r="AC60" s="44"/>
      <x:c r="AD60" s="44"/>
      <x:c r="AE60" s="44"/>
      <x:c r="AF60" s="44"/>
      <x:c r="AG60" s="43"/>
      <x:c r="AH60" s="43"/>
      <x:c r="AI60" s="43" t="str">
        <x:v>Não</x:v>
      </x:c>
      <x:c r="AJ60" s="43"/>
      <x:c r="AK60" s="43"/>
      <x:c r="AL60" s="43" t="str">
        <x:v>https://perfildaindustria.portaldaindustria.com.br/estado/tudo/sp</x:v>
      </x:c>
      <x:c r="AM60" s="43" t="str">
        <x:v>Não localizado em fonte pública confiável até 24/07/2026</x:v>
      </x:c>
      <x:c r="AN60" s="43" t="str">
        <x:v>Pesquise a empresa Hidraufran Vedações, de Franca/SP,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60" s="43" t="str">
        <x:v>2026-07-24 v1</x:v>
      </x:c>
    </x:row>
    <x:row r="61" ht="72" customHeight="1">
      <x:c r="A61" s="43" t="n">
        <x:v>60</x:v>
      </x:c>
      <x:c r="B61" s="43" t="str">
        <x:v>Vedafort Oleohidráulica Vedações e Componentes</x:v>
      </x:c>
      <x:c r="C61" s="43" t="str">
        <x:v>Hidráulica/Vedações</x:v>
      </x:c>
      <x:c r="D61" s="43" t="str">
        <x:v>Franca</x:v>
      </x:c>
      <x:c r="E61" s="43" t="str">
        <x:v>SP</x:v>
      </x:c>
      <x:c r="F61" s="43" t="str">
        <x:v>Sudeste</x:v>
      </x:c>
      <x:c r="G61" s="43" t="str">
        <x:v>B - Média</x:v>
      </x:c>
      <x:c r="H61" s="43" t="str">
        <x:v>Não contatado</x:v>
      </x:c>
      <x:c r="I61" s="43" t="str">
        <x:v>vedafort.oleohidraulica@gmail.com</x:v>
      </x:c>
      <x:c r="J61" s="43" t="str">
        <x:v>https://wa.me/vedafort</x:v>
      </x:c>
      <x:c r="K61" s="43" t="str">
        <x:v>Sim</x:v>
      </x:c>
      <x:c r="L61" s="43" t="str">
        <x:v>fornecedor de componentes hidráulicos e vedações</x:v>
      </x:c>
      <x:c r="M61" s="43" t="str">
        <x:v>máquinas, automotivo, químico, alimentos e manutenção industrial</x:v>
      </x:c>
      <x:c r="N61" s="43" t="str">
        <x:v>gaxetas de haste e pistão, raspadores, anéis guia, vedações rotativas e kits para cilindros hidráulicos</x:v>
      </x:c>
      <x:c r="O61" s="43" t="str">
        <x:v>vedações em PU, PTFE puro ou carregado, NBR e FKM, dimensionadas conforme pressão, velocidade, fluido e temperatura</x:v>
      </x:c>
      <x:c r="P61" s="43" t="str">
        <x:v>apoiar reformas e montagens com peças não padronizadas, reposições antigas e fabricação rápida por amostra ou desenho</x:v>
      </x:c>
      <x:c r="Q61" s="43" t="str">
        <x:v>Segmento da base: Hidráulica/Vedações; localização: Franca/SP; contexto industrial regional usado apenas como hipótese comercial. Fonte pública associada à empresa. Nenhuma afirmação sobre clientes ou aplicações específicas da empresa foi feita sem fonte.</x:v>
      </x:c>
      <x:c r="R61" s="43" t="str">
        <x:v>Moderada</x:v>
      </x:c>
      <x:c r="S61" s="43" t="str">
        <x:v>Sim</x:v>
      </x:c>
      <x:c r="T61" s="43" t="str">
        <x:v>Vedações hidráulicas especiais para a Vedafort Oleohidráulica Vedações e Componentes</x:v>
      </x:c>
      <x:c r="U61" s="43" t="str">
        <x:v>Olá, equipe da Vedafort Oleohidráulica Vedações e Componentes,</x:v>
      </x:c>
      <x:c r="V61" s="43" t="str">
        <x:v>Olá, equipe da Vedafort Oleohidráulica Vedações e Componentes,
Estou entrando em contato porque a atuação da Vedafort Oleohidráulica Vedações e Componentes em hidráulica/vedações tem boa aderência ao tipo de fabricação especial que realizamos na Parts Seals.
Em Franca/SP, cadeias como máquinas, automotivo, químico, alimentos e manutenção industrial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PU, NBR,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61" s="43" t="str">
        <x:v>Olá, equipe da Vedafort Oleohidráulica Vedações e Componentes,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61" s="43" t="str">
        <x:v>Olá, equipe da Vedafort Oleohidráulica Vedações e Componentes,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61" s="43" t="str">
        <x:v>Há cilindros ou equipamentos para os quais vocês têm dificuldade de localizar a vedação correta ou cumprir o prazo do cliente?</x:v>
      </x:c>
      <x:c r="Z61" s="43" t="str">
        <x:v>Este contato foi direcionado a um canal corporativo público por possível aderência entre as atividades das empresas. Para não receber novas mensagens da Parts Seals, responda com REMOVER.</x:v>
      </x:c>
      <x:c r="AA61" s="43" t="str">
        <x:v>Aguardando aprovação</x:v>
      </x:c>
      <x:c r="AB61" s="43" t="str">
        <x:v>Não</x:v>
      </x:c>
      <x:c r="AC61" s="44"/>
      <x:c r="AD61" s="44"/>
      <x:c r="AE61" s="44"/>
      <x:c r="AF61" s="44"/>
      <x:c r="AG61" s="43"/>
      <x:c r="AH61" s="43"/>
      <x:c r="AI61" s="43" t="str">
        <x:v>Não</x:v>
      </x:c>
      <x:c r="AJ61" s="43"/>
      <x:c r="AK61" s="43"/>
      <x:c r="AL61" s="43" t="str">
        <x:v>https://perfildaindustria.portaldaindustria.com.br/estado/tudo/sp</x:v>
      </x:c>
      <x:c r="AM61" s="43" t="str">
        <x:v>https://wa.me/vedafort</x:v>
      </x:c>
      <x:c r="AN61" s="43" t="str">
        <x:v>Pesquise a empresa Vedafort Oleohidráulica Vedações e Componentes, de Franca/SP,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61" s="43" t="str">
        <x:v>2026-07-24 v1</x:v>
      </x:c>
    </x:row>
    <x:row r="62" ht="72" customHeight="1">
      <x:c r="A62" s="43" t="n">
        <x:v>61</x:v>
      </x:c>
      <x:c r="B62" s="43" t="str">
        <x:v>Allved Vedações</x:v>
      </x:c>
      <x:c r="C62" s="43" t="str">
        <x:v>Vedações</x:v>
      </x:c>
      <x:c r="D62" s="43" t="str">
        <x:v>Guarulhos</x:v>
      </x:c>
      <x:c r="E62" s="43" t="str">
        <x:v>SP</x:v>
      </x:c>
      <x:c r="F62" s="43" t="str">
        <x:v>Sudeste</x:v>
      </x:c>
      <x:c r="G62" s="43" t="str">
        <x:v>A - Alta</x:v>
      </x:c>
      <x:c r="H62" s="43" t="str">
        <x:v>Não contatado</x:v>
      </x:c>
      <x:c r="I62" s="43" t="str">
        <x:v>vendas@allved.com.br</x:v>
      </x:c>
      <x:c r="J62" s="43" t="str">
        <x:v>https://allved.com.br/contato</x:v>
      </x:c>
      <x:c r="K62" s="43" t="str">
        <x:v>Sim</x:v>
      </x:c>
      <x:c r="L62" s="43" t="str">
        <x:v>especialista ou revenda de vedações industriais</x:v>
      </x:c>
      <x:c r="M62" s="43" t="str">
        <x:v>metalmecânico, químico, logística, automotivo e manutenção industrial</x:v>
      </x:c>
      <x:c r="N62" s="43" t="str">
        <x:v>gaxetas, raspadores, anéis guia, vedações de haste e pistão, retentores especiais e reposições fora de linha</x:v>
      </x:c>
      <x:c r="O62" s="43" t="str">
        <x:v>peças sob medida em PTFE puro ou carregado, poliuretano, NBR, FKM, nylon e outros materiais técnicos</x:v>
      </x:c>
      <x:c r="P62" s="43" t="str">
        <x:v>complementar o portfólio com itens especiais, pequenas e médias séries, urgências e fabricação por desenho ou amostra</x:v>
      </x:c>
      <x:c r="Q62" s="43" t="str">
        <x:v>Segmento da base: Vedações; localização: Guarulhos/SP; contexto industrial regional usado apenas como hipótese comercial. Domínio do e-mail coincide com a fonte oficial. Nenhuma afirmação sobre clientes ou aplicações específicas da empresa foi feita sem fonte.</x:v>
      </x:c>
      <x:c r="R62" s="43" t="str">
        <x:v>Alta</x:v>
      </x:c>
      <x:c r="S62" s="43" t="str">
        <x:v>Recomendada</x:v>
      </x:c>
      <x:c r="T62" s="43" t="str">
        <x:v>Possível parceria técnica — Allved Vedações e Parts Seals</x:v>
      </x:c>
      <x:c r="U62" s="43" t="str">
        <x:v>Olá, equipe da Allved Vedações,</x:v>
      </x:c>
      <x:c r="V62" s="43" t="str">
        <x:v>Olá, equipe da Allved Vedações,
Ao analisar o perfil da Allved Vedações em Guarulhos, identifiquei uma possibilidade de parceria para demandas de vedação que não se encaixam bem em linhas padronizadas.
Em Guarulhos/SP, cadeias como metalmecânico, químico, logística, automotivo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62" s="43" t="str">
        <x:v>Olá, equipe da Allved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62" s="43" t="str">
        <x:v>Olá, equipe da Allved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62" s="43" t="str">
        <x:v>Vocês recebem consultas de peças especiais que acabam sem atendimento por prazo, material, quantidade ou ausência de desenho?</x:v>
      </x:c>
      <x:c r="Z62" s="43" t="str">
        <x:v>Este contato foi direcionado a um canal corporativo público por possível aderência entre as atividades das empresas. Para não receber novas mensagens da Parts Seals, responda com REMOVER.</x:v>
      </x:c>
      <x:c r="AA62" s="43" t="str">
        <x:v>Aguardando aprovação</x:v>
      </x:c>
      <x:c r="AB62" s="43" t="str">
        <x:v>Não</x:v>
      </x:c>
      <x:c r="AC62" s="44"/>
      <x:c r="AD62" s="44"/>
      <x:c r="AE62" s="44"/>
      <x:c r="AF62" s="44"/>
      <x:c r="AG62" s="43"/>
      <x:c r="AH62" s="43"/>
      <x:c r="AI62" s="43" t="str">
        <x:v>Não</x:v>
      </x:c>
      <x:c r="AJ62" s="43"/>
      <x:c r="AK62" s="43"/>
      <x:c r="AL62" s="43" t="str">
        <x:v>https://perfildaindustria.portaldaindustria.com.br/estado/tudo/sp</x:v>
      </x:c>
      <x:c r="AM62" s="43" t="str">
        <x:v>https://allved.com.br/contato</x:v>
      </x:c>
      <x:c r="AN62" s="43" t="str">
        <x:v>Pesquise a empresa Allved Vedações, de Guarulhos/SP,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62" s="43" t="str">
        <x:v>2026-07-24 v1</x:v>
      </x:c>
    </x:row>
    <x:row r="63" ht="72" customHeight="1">
      <x:c r="A63" s="43" t="n">
        <x:v>62</x:v>
      </x:c>
      <x:c r="B63" s="43" t="str">
        <x:v>CLD Rolamentos</x:v>
      </x:c>
      <x:c r="C63" s="43" t="str">
        <x:v>Rolamentos/Vedações</x:v>
      </x:c>
      <x:c r="D63" s="43" t="str">
        <x:v>Guarulhos</x:v>
      </x:c>
      <x:c r="E63" s="43" t="str">
        <x:v>SP</x:v>
      </x:c>
      <x:c r="F63" s="43" t="str">
        <x:v>Sudeste</x:v>
      </x:c>
      <x:c r="G63" s="43" t="str">
        <x:v>A - Alta</x:v>
      </x:c>
      <x:c r="H63" s="43" t="str">
        <x:v>Não contatado</x:v>
      </x:c>
      <x:c r="I63" s="43"/>
      <x:c r="J63" s="43" t="str">
        <x:v>Não localizado em fonte pública confiável até 24/07/2026</x:v>
      </x:c>
      <x:c r="K63" s="43" t="str">
        <x:v>Não</x:v>
      </x:c>
      <x:c r="L63" s="43" t="str">
        <x:v>distribuidor de rolamentos, retentores e vedações</x:v>
      </x:c>
      <x:c r="M63" s="43" t="str">
        <x:v>metalmecânico, químico, logística, automotivo e manutenção industrial</x:v>
      </x:c>
      <x:c r="N63" s="43" t="str">
        <x:v>retentores especiais, anéis, vedações rotativas, kits e componentes para manutenção de máquinas</x:v>
      </x:c>
      <x:c r="O63" s="43" t="str">
        <x:v>peças especiais em NBR, FKM, PU e PTFE, inclusive medidas fora de catálogo</x:v>
      </x:c>
      <x:c r="P63" s="43" t="str">
        <x:v>complementar a linha padronizada com reposições especiais e itens descontinuados</x:v>
      </x:c>
      <x:c r="Q63" s="43" t="str">
        <x:v>Segmento da base: Rolamentos/Vedações; localização: Guarulhos/SP; contexto industrial regional usado apenas como hipótese comercial. Sem e-mail público localizado. Nenhuma afirmação sobre clientes ou aplicações específicas da empresa foi feita sem fonte.</x:v>
      </x:c>
      <x:c r="R63" s="43" t="str">
        <x:v>Baixa</x:v>
      </x:c>
      <x:c r="S63" s="43" t="str">
        <x:v>Sim</x:v>
      </x:c>
      <x:c r="T63" s="43" t="str">
        <x:v>Complemento para a linha de vedações da CLD Rolamentos</x:v>
      </x:c>
      <x:c r="U63" s="43" t="str">
        <x:v>Olá, equipe da CLD Rolamentos,</x:v>
      </x:c>
      <x:c r="V63" s="43" t="str">
        <x:v>Olá, equipe da CLD Rolamentos,
A Parts Seals está ampliando parcerias com empresas técnicas do setor, e o perfil da CLD Rolamentos chamou nossa atenção pela atuação em rolamentos/vedações.
Em Guarulhos/SP, cadeias como metalmecânico, químico, logística, automotivo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NBR,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63" s="43" t="str">
        <x:v>Olá, equipe da CLD Rolamentos,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63" s="43" t="str">
        <x:v>Olá, equipe da CLD Rolamentos,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63" s="43" t="str">
        <x:v>Vocês têm pedidos de retentores ou vedações em medidas especiais que não encontram nos catálogos tradicionais?</x:v>
      </x:c>
      <x:c r="Z63" s="43" t="str">
        <x:v>Este contato foi direcionado a um canal corporativo público por possível aderência entre as atividades das empresas. Para não receber novas mensagens da Parts Seals, responda com REMOVER.</x:v>
      </x:c>
      <x:c r="AA63" s="43" t="str">
        <x:v>Sem e-mail</x:v>
      </x:c>
      <x:c r="AB63" s="43" t="str">
        <x:v>Não</x:v>
      </x:c>
      <x:c r="AC63" s="44"/>
      <x:c r="AD63" s="44"/>
      <x:c r="AE63" s="44"/>
      <x:c r="AF63" s="44"/>
      <x:c r="AG63" s="43"/>
      <x:c r="AH63" s="43"/>
      <x:c r="AI63" s="43" t="str">
        <x:v>Não</x:v>
      </x:c>
      <x:c r="AJ63" s="43"/>
      <x:c r="AK63" s="43"/>
      <x:c r="AL63" s="43" t="str">
        <x:v>https://perfildaindustria.portaldaindustria.com.br/estado/tudo/sp</x:v>
      </x:c>
      <x:c r="AM63" s="43" t="str">
        <x:v>Não localizado em fonte pública confiável até 24/07/2026</x:v>
      </x:c>
      <x:c r="AN63" s="43" t="str">
        <x:v>Pesquise a empresa CLD Rolamentos, de Guarulhos/SP,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63" s="43" t="str">
        <x:v>2026-07-24 v1</x:v>
      </x:c>
    </x:row>
    <x:row r="64" ht="72" customHeight="1">
      <x:c r="A64" s="43" t="n">
        <x:v>63</x:v>
      </x:c>
      <x:c r="B64" s="43" t="str">
        <x:v>Olived Vedações Hidráulicas e Pneumáticas</x:v>
      </x:c>
      <x:c r="C64" s="43" t="str">
        <x:v>Vedações</x:v>
      </x:c>
      <x:c r="D64" s="43" t="str">
        <x:v>Guarulhos</x:v>
      </x:c>
      <x:c r="E64" s="43" t="str">
        <x:v>SP</x:v>
      </x:c>
      <x:c r="F64" s="43" t="str">
        <x:v>Sudeste</x:v>
      </x:c>
      <x:c r="G64" s="43" t="str">
        <x:v>B - Média</x:v>
      </x:c>
      <x:c r="H64" s="43" t="str">
        <x:v>Não contatado</x:v>
      </x:c>
      <x:c r="I64" s="43" t="str">
        <x:v>olived@olived.com.br</x:v>
      </x:c>
      <x:c r="J64" s="43" t="str">
        <x:v>https://www.instagram.com/p/DZnUltxAGea/</x:v>
      </x:c>
      <x:c r="K64" s="43" t="str">
        <x:v>Sim</x:v>
      </x:c>
      <x:c r="L64" s="43" t="str">
        <x:v>especialista ou revenda de vedações industriais</x:v>
      </x:c>
      <x:c r="M64" s="43" t="str">
        <x:v>metalmecânico, químico, logística, automotivo e manutenção industrial</x:v>
      </x:c>
      <x:c r="N64" s="43" t="str">
        <x:v>gaxetas, raspadores, anéis guia, vedações de haste e pistão, retentores especiais e reposições fora de linha</x:v>
      </x:c>
      <x:c r="O64" s="43" t="str">
        <x:v>peças sob medida em PTFE puro ou carregado, poliuretano, NBR, FKM, nylon e outros materiais técnicos</x:v>
      </x:c>
      <x:c r="P64" s="43" t="str">
        <x:v>complementar o portfólio com itens especiais, pequenas e médias séries, urgências e fabricação por desenho ou amostra</x:v>
      </x:c>
      <x:c r="Q64" s="43" t="str">
        <x:v>Segmento da base: Vedações; localização: Guarulhos/SP; contexto industrial regional usado apenas como hipótese comercial. Contato publicado em perfil ou diretório institucional. Nenhuma afirmação sobre clientes ou aplicações específicas da empresa foi feita sem fonte.</x:v>
      </x:c>
      <x:c r="R64" s="43" t="str">
        <x:v>Moderada</x:v>
      </x:c>
      <x:c r="S64" s="43" t="str">
        <x:v>Sim</x:v>
      </x:c>
      <x:c r="T64" s="43" t="str">
        <x:v>Demandas fora de catálogo na Olived Vedações Hidráulicas e Pneumáticas</x:v>
      </x:c>
      <x:c r="U64" s="43" t="str">
        <x:v>Olá, equipe da Olived Vedações Hidráulicas e Pneumáticas,</x:v>
      </x:c>
      <x:c r="V64" s="43" t="str">
        <x:v>Olá, equipe da Olived Vedações Hidráulicas e Pneumáticas,
Gostaria de apresentar uma possibilidade de apoio complementar à Olived Vedações Hidráulicas e Pneumáticas para peças especiais, urgências e reposições fora de catálogo.
Em Guarulhos/SP, cadeias como metalmecânico, químico, logística, automotivo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64" s="43" t="str">
        <x:v>Olá, equipe da Olived Vedações Hidráulicas e Pneumáticas,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64" s="43" t="str">
        <x:v>Olá, equipe da Olived Vedações Hidráulicas e Pneumáticas,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64" s="43" t="str">
        <x:v>Vocês recebem consultas de peças especiais que acabam sem atendimento por prazo, material, quantidade ou ausência de desenho?</x:v>
      </x:c>
      <x:c r="Z64" s="43" t="str">
        <x:v>Este contato foi direcionado a um canal corporativo público por possível aderência entre as atividades das empresas. Para não receber novas mensagens da Parts Seals, responda com REMOVER.</x:v>
      </x:c>
      <x:c r="AA64" s="43" t="str">
        <x:v>Aguardando aprovação</x:v>
      </x:c>
      <x:c r="AB64" s="43" t="str">
        <x:v>Não</x:v>
      </x:c>
      <x:c r="AC64" s="44"/>
      <x:c r="AD64" s="44"/>
      <x:c r="AE64" s="44"/>
      <x:c r="AF64" s="44"/>
      <x:c r="AG64" s="43"/>
      <x:c r="AH64" s="43"/>
      <x:c r="AI64" s="43" t="str">
        <x:v>Não</x:v>
      </x:c>
      <x:c r="AJ64" s="43"/>
      <x:c r="AK64" s="43"/>
      <x:c r="AL64" s="43" t="str">
        <x:v>https://perfildaindustria.portaldaindustria.com.br/estado/tudo/sp</x:v>
      </x:c>
      <x:c r="AM64" s="43" t="str">
        <x:v>https://www.instagram.com/p/DZnUltxAGea/</x:v>
      </x:c>
      <x:c r="AN64" s="43" t="str">
        <x:v>Pesquise a empresa Olived Vedações Hidráulicas e Pneumáticas, de Guarulhos/SP,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64" s="43" t="str">
        <x:v>2026-07-24 v1</x:v>
      </x:c>
    </x:row>
    <x:row r="65" ht="72" customHeight="1">
      <x:c r="A65" s="43" t="n">
        <x:v>64</x:v>
      </x:c>
      <x:c r="B65" s="43" t="str">
        <x:v>Plastifluor</x:v>
      </x:c>
      <x:c r="C65" s="43" t="str">
        <x:v>Fabricante PTFE</x:v>
      </x:c>
      <x:c r="D65" s="43" t="str">
        <x:v>Guarulhos</x:v>
      </x:c>
      <x:c r="E65" s="43" t="str">
        <x:v>SP</x:v>
      </x:c>
      <x:c r="F65" s="43" t="str">
        <x:v>Sudeste</x:v>
      </x:c>
      <x:c r="G65" s="43" t="str">
        <x:v>B - Média</x:v>
      </x:c>
      <x:c r="H65" s="43" t="str">
        <x:v>Não contatado</x:v>
      </x:c>
      <x:c r="I65" s="43" t="str">
        <x:v>contato@plastifluor.com.br</x:v>
      </x:c>
      <x:c r="J65" s="43" t="str">
        <x:v>https://www.plastifluor.com.br/contato.php</x:v>
      </x:c>
      <x:c r="K65" s="43" t="str">
        <x:v>Sim</x:v>
      </x:c>
      <x:c r="L65" s="43" t="str">
        <x:v>fabricante especializado em componentes de PTFE</x:v>
      </x:c>
      <x:c r="M65" s="43" t="str">
        <x:v>metalmecânico, químico, logística, automotivo e manutenção industrial</x:v>
      </x:c>
      <x:c r="N65" s="43" t="str">
        <x:v>peças técnicas, anéis, sedes, guias e geometrias especiais para baixa fricção e resistência química</x:v>
      </x:c>
      <x:c r="O65" s="43" t="str">
        <x:v>apoio complementar em PTFE puro ou carregado e combinação com PU, NBR, FKM e outros materiais de vedação</x:v>
      </x:c>
      <x:c r="P65" s="43" t="str">
        <x:v>absorver urgências, geometrias específicas ou demandas mistas que envolvam mais de uma família de materiais</x:v>
      </x:c>
      <x:c r="Q65" s="43" t="str">
        <x:v>Segmento da base: Fabricante PTFE; localização: Guarulhos/SP; contexto industrial regional usado apenas como hipótese comercial. Domínio do e-mail coincide com a fonte oficial. Nenhuma afirmação sobre clientes ou aplicações específicas da empresa foi feita sem fonte.</x:v>
      </x:c>
      <x:c r="R65" s="43" t="str">
        <x:v>Alta</x:v>
      </x:c>
      <x:c r="S65" s="43" t="str">
        <x:v>Recomendada</x:v>
      </x:c>
      <x:c r="T65" s="43" t="str">
        <x:v>Apoio produtivo para itens especiais — Plastifluor</x:v>
      </x:c>
      <x:c r="U65" s="43" t="str">
        <x:v>Olá, equipe da Plastifluor,</x:v>
      </x:c>
      <x:c r="V65" s="43" t="str">
        <x:v>Olá, equipe da Plastifluor,
Estou entrando em contato porque a atuação da Plastifluor em fabricante ptfe tem boa aderência ao tipo de fabricação especial que realizamos na Parts Seals.
Em Guarulhos/SP, cadeias como metalmecânico, químico, logística, automotivo e manutenção industrial costumam gerar solicitações de vedações especiais, principalmente quando há pressão, desgaste, ataque químico, temperatura ou dificuldade de reposição. Para o perfil de fabricante especializado em componentes de PTFE, vemos maior aderência em peças técnicas, anéis, sedes, guias e geometrias especiais para baixa fricção e resistência química.
A Parts Seals pode apoiar com apoio complementar em PTFE puro ou carregado e combinação com PU, NBR, FKM e outros materiais de vedação. A seleção final do material é validada conforme a aplicação; para as demandas mais comuns da região, vale avaliar especialmente PU, NBR, PTFE e FKM. Nosso objetivo é absorver urgências, geometrias específicas ou demandas mistas que envolvam mais de uma família de materiais.
Há itens ou picos de demanda em que uma parceria produtiva complementar faria sentido para vocês?
Posso encaminhar uma apresentação curta ou avaliar um item real, sem compromisso?
Atenciosamente,
{{NOME_REMETENTE}}
Parts Seals Vedações Industriais
{{TELEFONE_REMETENTE}} | {{SITE_REMETENTE}}</x:v>
      </x:c>
      <x:c r="W65" s="43" t="str">
        <x:v>Olá, equipe da Plastifluor,
Retomando meu contato: pelo perfil de fabricante ptfe de vocês, acredito que podemos apoiar principalmente em peças técnicas, anéis, sedes, guias e geometrias especiais para baixa fricção e resistência química.
Se tiverem uma medida, desenho ou foto de um item difícil de localizar, podemos fazer uma análise inicial e indicar o material mais adequado. Há algum caso em aberto que possamos avaliar?
Atenciosamente,
{{NOME_REMETENTE}}
Parts Seals Vedações Industriais</x:v>
      </x:c>
      <x:c r="X65" s="43" t="str">
        <x:v>Olá, equipe da Plastifluor,
Encerrando meu contato para não insistir. Caso surja alguma demanda de peças técnicas, anéis, sedes, guias e geometrias especiais para baixa fricção e resistência química,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65" s="43" t="str">
        <x:v>Há itens ou picos de demanda em que uma parceria produtiva complementar faria sentido para vocês?</x:v>
      </x:c>
      <x:c r="Z65" s="43" t="str">
        <x:v>Este contato foi direcionado a um canal corporativo público por possível aderência entre as atividades das empresas. Para não receber novas mensagens da Parts Seals, responda com REMOVER.</x:v>
      </x:c>
      <x:c r="AA65" s="43" t="str">
        <x:v>Aguardando aprovação</x:v>
      </x:c>
      <x:c r="AB65" s="43" t="str">
        <x:v>Não</x:v>
      </x:c>
      <x:c r="AC65" s="44"/>
      <x:c r="AD65" s="44"/>
      <x:c r="AE65" s="44"/>
      <x:c r="AF65" s="44"/>
      <x:c r="AG65" s="43"/>
      <x:c r="AH65" s="43"/>
      <x:c r="AI65" s="43" t="str">
        <x:v>Não</x:v>
      </x:c>
      <x:c r="AJ65" s="43"/>
      <x:c r="AK65" s="43"/>
      <x:c r="AL65" s="43" t="str">
        <x:v>https://perfildaindustria.portaldaindustria.com.br/estado/tudo/sp</x:v>
      </x:c>
      <x:c r="AM65" s="43" t="str">
        <x:v>https://www.plastifluor.com.br/contato.php</x:v>
      </x:c>
      <x:c r="AN65" s="43" t="str">
        <x:v>Pesquise a empresa Plastifluor, de Guarulhos/SP,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65" s="43" t="str">
        <x:v>2026-07-24 v1</x:v>
      </x:c>
    </x:row>
    <x:row r="66" ht="72" customHeight="1">
      <x:c r="A66" s="43" t="n">
        <x:v>65</x:v>
      </x:c>
      <x:c r="B66" s="43" t="str">
        <x:v>Qualived Vedações</x:v>
      </x:c>
      <x:c r="C66" s="43" t="str">
        <x:v>Vedações</x:v>
      </x:c>
      <x:c r="D66" s="43" t="str">
        <x:v>Guarulhos</x:v>
      </x:c>
      <x:c r="E66" s="43" t="str">
        <x:v>SP</x:v>
      </x:c>
      <x:c r="F66" s="43" t="str">
        <x:v>Sudeste</x:v>
      </x:c>
      <x:c r="G66" s="43" t="str">
        <x:v>A - Alta</x:v>
      </x:c>
      <x:c r="H66" s="43" t="str">
        <x:v>Não contatado</x:v>
      </x:c>
      <x:c r="I66" s="43" t="str">
        <x:v>vendas@qualived.com.br</x:v>
      </x:c>
      <x:c r="J66" s="43" t="str">
        <x:v>https://qualived.com.br/contato/</x:v>
      </x:c>
      <x:c r="K66" s="43" t="str">
        <x:v>Sim</x:v>
      </x:c>
      <x:c r="L66" s="43" t="str">
        <x:v>especialista ou revenda de vedações industriais</x:v>
      </x:c>
      <x:c r="M66" s="43" t="str">
        <x:v>metalmecânico, químico, logística, automotivo e manutenção industrial</x:v>
      </x:c>
      <x:c r="N66" s="43" t="str">
        <x:v>gaxetas, raspadores, anéis guia, vedações de haste e pistão, retentores especiais e reposições fora de linha</x:v>
      </x:c>
      <x:c r="O66" s="43" t="str">
        <x:v>peças sob medida em PTFE puro ou carregado, poliuretano, NBR, FKM, nylon e outros materiais técnicos</x:v>
      </x:c>
      <x:c r="P66" s="43" t="str">
        <x:v>complementar o portfólio com itens especiais, pequenas e médias séries, urgências e fabricação por desenho ou amostra</x:v>
      </x:c>
      <x:c r="Q66" s="43" t="str">
        <x:v>Segmento da base: Vedações; localização: Guarulhos/SP; contexto industrial regional usado apenas como hipótese comercial. Domínio do e-mail coincide com a fonte oficial. Nenhuma afirmação sobre clientes ou aplicações específicas da empresa foi feita sem fonte.</x:v>
      </x:c>
      <x:c r="R66" s="43" t="str">
        <x:v>Alta</x:v>
      </x:c>
      <x:c r="S66" s="43" t="str">
        <x:v>Recomendada</x:v>
      </x:c>
      <x:c r="T66" s="43" t="str">
        <x:v>Possível parceria técnica — Qualived Vedações e Parts Seals</x:v>
      </x:c>
      <x:c r="U66" s="43" t="str">
        <x:v>Olá, equipe da Qualived Vedações,</x:v>
      </x:c>
      <x:c r="V66" s="43" t="str">
        <x:v>Olá, equipe da Qualived Vedações,
Ao analisar o perfil da Qualived Vedações em Guarulhos, identifiquei uma possibilidade de parceria para demandas de vedação que não se encaixam bem em linhas padronizadas.
Em Guarulhos/SP, cadeias como metalmecânico, químico, logística, automotivo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66" s="43" t="str">
        <x:v>Olá, equipe da Qualived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66" s="43" t="str">
        <x:v>Olá, equipe da Qualived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66" s="43" t="str">
        <x:v>Vocês recebem consultas de peças especiais que acabam sem atendimento por prazo, material, quantidade ou ausência de desenho?</x:v>
      </x:c>
      <x:c r="Z66" s="43" t="str">
        <x:v>Este contato foi direcionado a um canal corporativo público por possível aderência entre as atividades das empresas. Para não receber novas mensagens da Parts Seals, responda com REMOVER.</x:v>
      </x:c>
      <x:c r="AA66" s="43" t="str">
        <x:v>Aguardando aprovação</x:v>
      </x:c>
      <x:c r="AB66" s="43" t="str">
        <x:v>Não</x:v>
      </x:c>
      <x:c r="AC66" s="44"/>
      <x:c r="AD66" s="44"/>
      <x:c r="AE66" s="44"/>
      <x:c r="AF66" s="44"/>
      <x:c r="AG66" s="43"/>
      <x:c r="AH66" s="43"/>
      <x:c r="AI66" s="43" t="str">
        <x:v>Não</x:v>
      </x:c>
      <x:c r="AJ66" s="43"/>
      <x:c r="AK66" s="43"/>
      <x:c r="AL66" s="43" t="str">
        <x:v>https://perfildaindustria.portaldaindustria.com.br/estado/tudo/sp</x:v>
      </x:c>
      <x:c r="AM66" s="43" t="str">
        <x:v>https://qualived.com.br/contato/</x:v>
      </x:c>
      <x:c r="AN66" s="43" t="str">
        <x:v>Pesquise a empresa Qualived Vedações, de Guarulhos/SP,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66" s="43" t="str">
        <x:v>2026-07-24 v1</x:v>
      </x:c>
    </x:row>
    <x:row r="67" ht="72" customHeight="1">
      <x:c r="A67" s="43" t="n">
        <x:v>66</x:v>
      </x:c>
      <x:c r="B67" s="43" t="str">
        <x:v>Real Vedações - Guarulhos</x:v>
      </x:c>
      <x:c r="C67" s="43" t="str">
        <x:v>Vedações</x:v>
      </x:c>
      <x:c r="D67" s="43" t="str">
        <x:v>Guarulhos</x:v>
      </x:c>
      <x:c r="E67" s="43" t="str">
        <x:v>SP</x:v>
      </x:c>
      <x:c r="F67" s="43" t="str">
        <x:v>Sudeste</x:v>
      </x:c>
      <x:c r="G67" s="43" t="str">
        <x:v>Sem dados - qualificar</x:v>
      </x:c>
      <x:c r="H67" s="43" t="str">
        <x:v>Não contatado</x:v>
      </x:c>
      <x:c r="I67" s="43" t="str">
        <x:v>vendas@realvedacoes.ind.br</x:v>
      </x:c>
      <x:c r="J67" s="43" t="str">
        <x:v>https://realvedacoes.ind.br/</x:v>
      </x:c>
      <x:c r="K67" s="43" t="str">
        <x:v>Sim</x:v>
      </x:c>
      <x:c r="L67" s="43" t="str">
        <x:v>especialista ou revenda de vedações industriais</x:v>
      </x:c>
      <x:c r="M67" s="43" t="str">
        <x:v>metalmecânico, químico, logística, automotivo e manutenção industrial</x:v>
      </x:c>
      <x:c r="N67" s="43" t="str">
        <x:v>gaxetas, raspadores, anéis guia, vedações de haste e pistão, retentores especiais e reposições fora de linha</x:v>
      </x:c>
      <x:c r="O67" s="43" t="str">
        <x:v>peças sob medida em PTFE puro ou carregado, poliuretano, NBR, FKM, nylon e outros materiais técnicos</x:v>
      </x:c>
      <x:c r="P67" s="43" t="str">
        <x:v>complementar o portfólio com itens especiais, pequenas e médias séries, urgências e fabricação por desenho ou amostra</x:v>
      </x:c>
      <x:c r="Q67" s="43" t="str">
        <x:v>Segmento da base: Vedações; localização: Guarulhos/SP; contexto industrial regional usado apenas como hipótese comercial. Domínio do e-mail coincide com a fonte oficial. Nenhuma afirmação sobre clientes ou aplicações específicas da empresa foi feita sem fonte.</x:v>
      </x:c>
      <x:c r="R67" s="43" t="str">
        <x:v>Alta</x:v>
      </x:c>
      <x:c r="S67" s="43" t="str">
        <x:v>Recomendada</x:v>
      </x:c>
      <x:c r="T67" s="43" t="str">
        <x:v>Apoio em vedações sob medida para a Real Vedações - Guarulhos</x:v>
      </x:c>
      <x:c r="U67" s="43" t="str">
        <x:v>Olá, equipe da Real Vedações - Guarulhos,</x:v>
      </x:c>
      <x:c r="V67" s="43" t="str">
        <x:v>Olá, equipe da Real Vedações - Guarulhos,
A Parts Seals está ampliando parcerias com empresas técnicas do setor, e o perfil da Real Vedações - Guarulhos chamou nossa atenção pela atuação em vedações.
Em Guarulhos/SP, cadeias como metalmecânico, químico, logística, automotivo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67" s="43" t="str">
        <x:v>Olá, equipe da Real Vedações - Guarulhos,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67" s="43" t="str">
        <x:v>Olá, equipe da Real Vedações - Guarulhos,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67" s="43" t="str">
        <x:v>Vocês recebem consultas de peças especiais que acabam sem atendimento por prazo, material, quantidade ou ausência de desenho?</x:v>
      </x:c>
      <x:c r="Z67" s="43" t="str">
        <x:v>Este contato foi direcionado a um canal corporativo público por possível aderência entre as atividades das empresas. Para não receber novas mensagens da Parts Seals, responda com REMOVER.</x:v>
      </x:c>
      <x:c r="AA67" s="43" t="str">
        <x:v>Aguardando aprovação</x:v>
      </x:c>
      <x:c r="AB67" s="43" t="str">
        <x:v>Não</x:v>
      </x:c>
      <x:c r="AC67" s="44"/>
      <x:c r="AD67" s="44"/>
      <x:c r="AE67" s="44"/>
      <x:c r="AF67" s="44"/>
      <x:c r="AG67" s="43"/>
      <x:c r="AH67" s="43"/>
      <x:c r="AI67" s="43" t="str">
        <x:v>Não</x:v>
      </x:c>
      <x:c r="AJ67" s="43"/>
      <x:c r="AK67" s="43"/>
      <x:c r="AL67" s="43" t="str">
        <x:v>https://perfildaindustria.portaldaindustria.com.br/estado/tudo/sp</x:v>
      </x:c>
      <x:c r="AM67" s="43" t="str">
        <x:v>https://realvedacoes.ind.br/</x:v>
      </x:c>
      <x:c r="AN67" s="43" t="str">
        <x:v>Pesquise a empresa Real Vedações - Guarulhos, de Guarulhos/SP,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67" s="43" t="str">
        <x:v>2026-07-24 v1</x:v>
      </x:c>
    </x:row>
    <x:row r="68" ht="72" customHeight="1">
      <x:c r="A68" s="43" t="n">
        <x:v>67</x:v>
      </x:c>
      <x:c r="B68" s="43" t="str">
        <x:v>Tex Vedações</x:v>
      </x:c>
      <x:c r="C68" s="43" t="str">
        <x:v>Fabricante/Vedações</x:v>
      </x:c>
      <x:c r="D68" s="43" t="str">
        <x:v>Guarulhos</x:v>
      </x:c>
      <x:c r="E68" s="43" t="str">
        <x:v>SP</x:v>
      </x:c>
      <x:c r="F68" s="43" t="str">
        <x:v>Sudeste</x:v>
      </x:c>
      <x:c r="G68" s="43" t="str">
        <x:v>C - Baixa</x:v>
      </x:c>
      <x:c r="H68" s="43" t="str">
        <x:v>Não contatado</x:v>
      </x:c>
      <x:c r="I68" s="43"/>
      <x:c r="J68" s="43" t="str">
        <x:v>Não localizado em fonte pública confiável até 24/07/2026</x:v>
      </x:c>
      <x:c r="K68" s="43" t="str">
        <x:v>Não</x:v>
      </x:c>
      <x:c r="L68" s="43" t="str">
        <x:v>fabricante ou transformador especializado em vedações</x:v>
      </x:c>
      <x:c r="M68" s="43" t="str">
        <x:v>metalmecânico, químico, logística, automotivo e manutenção industrial</x:v>
      </x:c>
      <x:c r="N68" s="43" t="str">
        <x:v>itens fora de padrão, picos de demanda, protótipos, reposições urgentes e lotes que exigem processo ou material específico</x:v>
      </x:c>
      <x:c r="O68" s="43" t="str">
        <x:v>componentes usinados e moldados em PTFE puro ou carregado, PU, NBR, FKM e materiais técnicos, conforme desenho ou amostra</x:v>
      </x:c>
      <x:c r="P68" s="43" t="str">
        <x:v>atuar como apoio produtivo complementar, preservando a relação comercial de vocês com o cliente final</x:v>
      </x:c>
      <x:c r="Q68" s="43" t="str">
        <x:v>Segmento da base: Fabricante/Vedações; localização: Guarulhos/SP; contexto industrial regional usado apenas como hipótese comercial. Sem e-mail público localizado. Nenhuma afirmação sobre clientes ou aplicações específicas da empresa foi feita sem fonte.</x:v>
      </x:c>
      <x:c r="R68" s="43" t="str">
        <x:v>Baixa</x:v>
      </x:c>
      <x:c r="S68" s="43" t="str">
        <x:v>Sim</x:v>
      </x:c>
      <x:c r="T68" s="43" t="str">
        <x:v>Itens urgentes ou fora de padrão — Tex Vedações</x:v>
      </x:c>
      <x:c r="U68" s="43" t="str">
        <x:v>Olá, equipe da Tex Vedações,</x:v>
      </x:c>
      <x:c r="V68" s="43" t="str">
        <x:v>Olá, equipe da Tex Vedações,
Gostaria de apresentar uma possibilidade de apoio complementar à Tex Vedações para peças especiais, urgências e reposições fora de catálogo.
Em Guarulhos/SP, cadeias como metalmecânico, químico, logística, automotivo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68" s="43" t="str">
        <x:v>Olá, equipe da Tex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68" s="43" t="str">
        <x:v>Olá, equipe da Tex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68" s="43" t="str">
        <x:v>Existe hoje algum item especial, urgente ou de baixa quantidade que esteja ocupando capacidade ou ficando sem atendimento?</x:v>
      </x:c>
      <x:c r="Z68" s="43" t="str">
        <x:v>Este contato foi direcionado a um canal corporativo público por possível aderência entre as atividades das empresas. Para não receber novas mensagens da Parts Seals, responda com REMOVER.</x:v>
      </x:c>
      <x:c r="AA68" s="43" t="str">
        <x:v>Sem e-mail</x:v>
      </x:c>
      <x:c r="AB68" s="43" t="str">
        <x:v>Não</x:v>
      </x:c>
      <x:c r="AC68" s="44"/>
      <x:c r="AD68" s="44"/>
      <x:c r="AE68" s="44"/>
      <x:c r="AF68" s="44"/>
      <x:c r="AG68" s="43"/>
      <x:c r="AH68" s="43"/>
      <x:c r="AI68" s="43" t="str">
        <x:v>Não</x:v>
      </x:c>
      <x:c r="AJ68" s="43"/>
      <x:c r="AK68" s="43"/>
      <x:c r="AL68" s="43" t="str">
        <x:v>https://perfildaindustria.portaldaindustria.com.br/estado/tudo/sp</x:v>
      </x:c>
      <x:c r="AM68" s="43" t="str">
        <x:v>Não localizado em fonte pública confiável até 24/07/2026</x:v>
      </x:c>
      <x:c r="AN68" s="43" t="str">
        <x:v>Pesquise a empresa Tex Vedações, de Guarulhos/SP,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68" s="43" t="str">
        <x:v>2026-07-24 v1</x:v>
      </x:c>
    </x:row>
    <x:row r="69" ht="72" customHeight="1">
      <x:c r="A69" s="43" t="n">
        <x:v>68</x:v>
      </x:c>
      <x:c r="B69" s="43" t="str">
        <x:v>Vedall Vedações Industriais</x:v>
      </x:c>
      <x:c r="C69" s="43" t="str">
        <x:v>Vedações</x:v>
      </x:c>
      <x:c r="D69" s="43" t="str">
        <x:v>Guarulhos</x:v>
      </x:c>
      <x:c r="E69" s="43" t="str">
        <x:v>SP</x:v>
      </x:c>
      <x:c r="F69" s="43" t="str">
        <x:v>Sudeste</x:v>
      </x:c>
      <x:c r="G69" s="43" t="str">
        <x:v>A - Alta</x:v>
      </x:c>
      <x:c r="H69" s="43" t="str">
        <x:v>Não contatado</x:v>
      </x:c>
      <x:c r="I69" s="43" t="str">
        <x:v>vendas01@vedall.com.br</x:v>
      </x:c>
      <x:c r="J69" s="43" t="str">
        <x:v>https://vedallvedacoes.com.br/</x:v>
      </x:c>
      <x:c r="K69" s="43" t="str">
        <x:v>Sim</x:v>
      </x:c>
      <x:c r="L69" s="43" t="str">
        <x:v>especialista ou revenda de vedações industriais</x:v>
      </x:c>
      <x:c r="M69" s="43" t="str">
        <x:v>metalmecânico, químico, logística, automotivo e manutenção industrial</x:v>
      </x:c>
      <x:c r="N69" s="43" t="str">
        <x:v>gaxetas, raspadores, anéis guia, vedações de haste e pistão, retentores especiais e reposições fora de linha</x:v>
      </x:c>
      <x:c r="O69" s="43" t="str">
        <x:v>peças sob medida em PTFE puro ou carregado, poliuretano, NBR, FKM, nylon e outros materiais técnicos</x:v>
      </x:c>
      <x:c r="P69" s="43" t="str">
        <x:v>complementar o portfólio com itens especiais, pequenas e médias séries, urgências e fabricação por desenho ou amostra</x:v>
      </x:c>
      <x:c r="Q69" s="43" t="str">
        <x:v>Segmento da base: Vedações; localização: Guarulhos/SP; contexto industrial regional usado apenas como hipótese comercial. Fonte pública associada à empresa. Nenhuma afirmação sobre clientes ou aplicações específicas da empresa foi feita sem fonte.</x:v>
      </x:c>
      <x:c r="R69" s="43" t="str">
        <x:v>Moderada</x:v>
      </x:c>
      <x:c r="S69" s="43" t="str">
        <x:v>Sim</x:v>
      </x:c>
      <x:c r="T69" s="43" t="str">
        <x:v>Peças especiais para complementar o atendimento da Vedall Vedações Industriais</x:v>
      </x:c>
      <x:c r="U69" s="43" t="str">
        <x:v>Olá, equipe da Vedall Vedações Industriais,</x:v>
      </x:c>
      <x:c r="V69" s="43" t="str">
        <x:v>Olá, equipe da Vedall Vedações Industriais,
Estou entrando em contato porque a atuação da Vedall Vedações Industriais em vedações tem boa aderência ao tipo de fabricação especial que realizamos na Parts Seals.
Em Guarulhos/SP, cadeias como metalmecânico, químico, logística, automotivo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69" s="43" t="str">
        <x:v>Olá, equipe da Vedall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69" s="43" t="str">
        <x:v>Olá, equipe da Vedall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69" s="43" t="str">
        <x:v>Vocês recebem consultas de peças especiais que acabam sem atendimento por prazo, material, quantidade ou ausência de desenho?</x:v>
      </x:c>
      <x:c r="Z69" s="43" t="str">
        <x:v>Este contato foi direcionado a um canal corporativo público por possível aderência entre as atividades das empresas. Para não receber novas mensagens da Parts Seals, responda com REMOVER.</x:v>
      </x:c>
      <x:c r="AA69" s="43" t="str">
        <x:v>Aguardando aprovação</x:v>
      </x:c>
      <x:c r="AB69" s="43" t="str">
        <x:v>Não</x:v>
      </x:c>
      <x:c r="AC69" s="44"/>
      <x:c r="AD69" s="44"/>
      <x:c r="AE69" s="44"/>
      <x:c r="AF69" s="44"/>
      <x:c r="AG69" s="43"/>
      <x:c r="AH69" s="43"/>
      <x:c r="AI69" s="43" t="str">
        <x:v>Não</x:v>
      </x:c>
      <x:c r="AJ69" s="43"/>
      <x:c r="AK69" s="43"/>
      <x:c r="AL69" s="43" t="str">
        <x:v>https://perfildaindustria.portaldaindustria.com.br/estado/tudo/sp</x:v>
      </x:c>
      <x:c r="AM69" s="43" t="str">
        <x:v>https://vedallvedacoes.com.br/</x:v>
      </x:c>
      <x:c r="AN69" s="43" t="str">
        <x:v>Pesquise a empresa Vedall Vedações Industriais, de Guarulhos/SP,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69" s="43" t="str">
        <x:v>2026-07-24 v1</x:v>
      </x:c>
    </x:row>
    <x:row r="70" ht="72" customHeight="1">
      <x:c r="A70" s="43" t="n">
        <x:v>69</x:v>
      </x:c>
      <x:c r="B70" s="43" t="str">
        <x:v>Via Products</x:v>
      </x:c>
      <x:c r="C70" s="43" t="str">
        <x:v>Vedações/Industrial</x:v>
      </x:c>
      <x:c r="D70" s="43" t="str">
        <x:v>Guarulhos</x:v>
      </x:c>
      <x:c r="E70" s="43" t="str">
        <x:v>SP</x:v>
      </x:c>
      <x:c r="F70" s="43" t="str">
        <x:v>Sudeste</x:v>
      </x:c>
      <x:c r="G70" s="43" t="str">
        <x:v>A - Alta</x:v>
      </x:c>
      <x:c r="H70" s="43" t="str">
        <x:v>Não contatado</x:v>
      </x:c>
      <x:c r="I70" s="43" t="str">
        <x:v>vendas@viaproducts.com.br</x:v>
      </x:c>
      <x:c r="J70" s="43" t="str">
        <x:v>https://www.viaproducts.com.br/como-comprar</x:v>
      </x:c>
      <x:c r="K70" s="43" t="str">
        <x:v>Sim</x:v>
      </x:c>
      <x:c r="L70" s="43" t="str">
        <x:v>fornecedor de vedações para manutenção industrial</x:v>
      </x:c>
      <x:c r="M70" s="43" t="str">
        <x:v>metalmecânico, químico, logística, automotivo e manutenção industrial</x:v>
      </x:c>
      <x:c r="N70" s="43" t="str">
        <x:v>reposição de máquinas, cilindros, bombas e equipamentos de processo</x:v>
      </x:c>
      <x:c r="O70" s="43" t="str">
        <x:v>peças em PTFE, PU, NBR e FKM conforme desenho ou amostra</x:v>
      </x:c>
      <x:c r="P70" s="43" t="str">
        <x:v>resolver medidas especiais e componentes descontinuados com lotes compatíveis à necessidade</x:v>
      </x:c>
      <x:c r="Q70" s="43" t="str">
        <x:v>Segmento da base: Vedações/Industrial; localização: Guarulhos/SP; contexto industrial regional usado apenas como hipótese comercial. Domínio do e-mail coincide com a fonte oficial. Nenhuma afirmação sobre clientes ou aplicações específicas da empresa foi feita sem fonte.</x:v>
      </x:c>
      <x:c r="R70" s="43" t="str">
        <x:v>Alta</x:v>
      </x:c>
      <x:c r="S70" s="43" t="str">
        <x:v>Recomendada</x:v>
      </x:c>
      <x:c r="T70" s="43" t="str">
        <x:v>Possível parceria técnica — Via Products e Parts Seals</x:v>
      </x:c>
      <x:c r="U70" s="43" t="str">
        <x:v>Olá, equipe da Via Products,</x:v>
      </x:c>
      <x:c r="V70" s="43" t="str">
        <x:v>Olá, equipe da Via Products,
Ao analisar o perfil da Via Products em Guarulhos, identifiquei uma possibilidade de parceria para demandas de vedação que não se encaixam bem em linhas padronizadas.
Em Guarulhos/SP, cadeias como metalmecânico, químico, logística, automotivo e manutenção industrial costumam gerar solicitações de vedações especiais, principalmente quando há pressão, desgaste, ataque químico, temperatura ou dificuldade de reposição. Para o perfil de fornecedor de vedações para manutenção industrial, vemos maior aderência em reposição de máquinas, cilindros, bombas e equipamentos de processo.
A Parts Seals pode apoiar com peças em PTFE, PU, NBR e FKM conforme desenho ou amostra. A seleção final do material é validada conforme a aplicação; para as demandas mais comuns da região, vale avaliar especialmente PU, NBR, PTFE e FKM. Nosso objetivo é resolver medidas especiais e componentes descontinuados com lotes compatíveis à necessidade.
Há alguma reposição industrial que vocês recebem com frequência e não conseguem atender por falta de medida ou material?
Posso encaminhar uma apresentação curta ou avaliar um item real, sem compromisso?
Atenciosamente,
{{NOME_REMETENTE}}
Parts Seals Vedações Industriais
{{TELEFONE_REMETENTE}} | {{SITE_REMETENTE}}</x:v>
      </x:c>
      <x:c r="W70" s="43" t="str">
        <x:v>Olá, equipe da Via Products,
Retomando meu contato: pelo perfil de vedações/industrial de vocês, acredito que podemos apoiar principalmente em reposição de máquinas, cilindros, bombas e equipamentos de processo.
Se tiverem uma medida, desenho ou foto de um item difícil de localizar, podemos fazer uma análise inicial e indicar o material mais adequado. Há algum caso em aberto que possamos avaliar?
Atenciosamente,
{{NOME_REMETENTE}}
Parts Seals Vedações Industriais</x:v>
      </x:c>
      <x:c r="X70" s="43" t="str">
        <x:v>Olá, equipe da Via Products,
Encerrando meu contato para não insistir. Caso surja alguma demanda de reposição de máquinas, cilindros, bombas e equipamentos de processo,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70" s="43" t="str">
        <x:v>Há alguma reposição industrial que vocês recebem com frequência e não conseguem atender por falta de medida ou material?</x:v>
      </x:c>
      <x:c r="Z70" s="43" t="str">
        <x:v>Este contato foi direcionado a um canal corporativo público por possível aderência entre as atividades das empresas. Para não receber novas mensagens da Parts Seals, responda com REMOVER.</x:v>
      </x:c>
      <x:c r="AA70" s="43" t="str">
        <x:v>Aguardando aprovação</x:v>
      </x:c>
      <x:c r="AB70" s="43" t="str">
        <x:v>Não</x:v>
      </x:c>
      <x:c r="AC70" s="44"/>
      <x:c r="AD70" s="44"/>
      <x:c r="AE70" s="44"/>
      <x:c r="AF70" s="44"/>
      <x:c r="AG70" s="43"/>
      <x:c r="AH70" s="43"/>
      <x:c r="AI70" s="43" t="str">
        <x:v>Não</x:v>
      </x:c>
      <x:c r="AJ70" s="43"/>
      <x:c r="AK70" s="43"/>
      <x:c r="AL70" s="43" t="str">
        <x:v>https://perfildaindustria.portaldaindustria.com.br/estado/tudo/sp</x:v>
      </x:c>
      <x:c r="AM70" s="43" t="str">
        <x:v>https://www.viaproducts.com.br/como-comprar</x:v>
      </x:c>
      <x:c r="AN70" s="43" t="str">
        <x:v>Pesquise a empresa Via Products, de Guarulhos/SP,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70" s="43" t="str">
        <x:v>2026-07-24 v1</x:v>
      </x:c>
    </x:row>
    <x:row r="71" ht="72" customHeight="1">
      <x:c r="A71" s="43" t="n">
        <x:v>70</x:v>
      </x:c>
      <x:c r="B71" s="43" t="str">
        <x:v>Intertac Componentes Industriais</x:v>
      </x:c>
      <x:c r="C71" s="43" t="str">
        <x:v>Industrial</x:v>
      </x:c>
      <x:c r="D71" s="43" t="str">
        <x:v>Hortolândia</x:v>
      </x:c>
      <x:c r="E71" s="43" t="str">
        <x:v>SP</x:v>
      </x:c>
      <x:c r="F71" s="43" t="str">
        <x:v>Sudeste</x:v>
      </x:c>
      <x:c r="G71" s="43" t="str">
        <x:v>B - Média</x:v>
      </x:c>
      <x:c r="H71" s="43" t="str">
        <x:v>Não contatado</x:v>
      </x:c>
      <x:c r="I71" s="43" t="str">
        <x:v>vendas@intertac.com.br</x:v>
      </x:c>
      <x:c r="J71" s="43" t="str">
        <x:v>https://br.automation.camozzi.com/contatos/brasil-locale-sales/</x:v>
      </x:c>
      <x:c r="K71" s="43" t="str">
        <x:v>Sim</x:v>
      </x:c>
      <x:c r="L71" s="43" t="str">
        <x:v>fornecedor de componentes industriais</x:v>
      </x:c>
      <x:c r="M71" s="43" t="str">
        <x:v>máquinas, automotivo, químico, alimentos e manutenção industrial</x:v>
      </x:c>
      <x:c r="N71" s="43" t="str">
        <x:v>manutenção de máquinas, conjuntos hidráulicos, bombas e equipamentos de processo</x:v>
      </x:c>
      <x:c r="O71" s="43" t="str">
        <x:v>vedações e componentes sob medida em PTFE, PU, NBR e FKM</x:v>
      </x:c>
      <x:c r="P71" s="43" t="str">
        <x:v>adicionar uma fonte de peças especiais sem necessidade de manter estoque</x:v>
      </x:c>
      <x:c r="Q71" s="43" t="str">
        <x:v>Segmento da base: Industrial; localização: Hortolândia/SP; contexto industrial regional usado apenas como hipótese comercial. Fonte pública associada à empresa. Nenhuma afirmação sobre clientes ou aplicações específicas da empresa foi feita sem fonte.</x:v>
      </x:c>
      <x:c r="R71" s="43" t="str">
        <x:v>Moderada</x:v>
      </x:c>
      <x:c r="S71" s="43" t="str">
        <x:v>Sim</x:v>
      </x:c>
      <x:c r="T71" s="43" t="str">
        <x:v>Apoio em vedações sob medida para a Intertac Componentes Industriais</x:v>
      </x:c>
      <x:c r="U71" s="43" t="str">
        <x:v>Olá, equipe da Intertac Componentes Industriais,</x:v>
      </x:c>
      <x:c r="V71" s="43" t="str">
        <x:v>Olá, equipe da Intertac Componentes Industriais,
A Parts Seals está ampliando parcerias com empresas técnicas do setor, e o perfil da Intertac Componentes Industriais chamou nossa atenção pela atuação em industrial.
Em Hortolândia/SP, cadeias como máquinas, automotivo, químico, alimentos e manutenção industrial costumam gerar solicitações de vedações especiais, principalmente quando há pressão, desgaste, ataque químico, temperatura ou dificuldade de reposição. Para o perfil de fornecedor de componentes industriais, vemos maior aderência em manutenção de máquinas, conjuntos hidráulicos, bombas e equipamentos de processo.
A Parts Seals pode apoiar com vedações e componentes sob medida em PTFE, PU, NBR e FKM. A seleção final do material é validada conforme a aplicação; para as demandas mais comuns da região, vale avaliar especialmente PU, NBR, PTFE e FKM. Nosso objetivo é adicionar uma fonte de peças especiais sem necessidade de manter estoque.
Existe alguma demanda de vedação ou componente técnico que hoje vocês direcionam para terceiros?
Posso encaminhar uma apresentação curta ou avaliar um item real, sem compromisso?
Atenciosamente,
{{NOME_REMETENTE}}
Parts Seals Vedações Industriais
{{TELEFONE_REMETENTE}} | {{SITE_REMETENTE}}</x:v>
      </x:c>
      <x:c r="W71" s="43" t="str">
        <x:v>Olá, equipe da Intertac Componentes Industriais,
Retomando meu contato: pelo perfil de industrial de vocês, acredito que podemos apoiar principalmente em manutenção de máquinas, conjuntos hidráulicos, bombas e equipamentos de processo.
Se tiverem uma medida, desenho ou foto de um item difícil de localizar, podemos fazer uma análise inicial e indicar o material mais adequado. Há algum caso em aberto que possamos avaliar?
Atenciosamente,
{{NOME_REMETENTE}}
Parts Seals Vedações Industriais</x:v>
      </x:c>
      <x:c r="X71" s="43" t="str">
        <x:v>Olá, equipe da Intertac Componentes Industriais,
Encerrando meu contato para não insistir. Caso surja alguma demanda de manutenção de máquinas, conjuntos hidráulicos, bombas e equipamentos de processo,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71" s="43" t="str">
        <x:v>Existe alguma demanda de vedação ou componente técnico que hoje vocês direcionam para terceiros?</x:v>
      </x:c>
      <x:c r="Z71" s="43" t="str">
        <x:v>Este contato foi direcionado a um canal corporativo público por possível aderência entre as atividades das empresas. Para não receber novas mensagens da Parts Seals, responda com REMOVER.</x:v>
      </x:c>
      <x:c r="AA71" s="43" t="str">
        <x:v>Aguardando aprovação</x:v>
      </x:c>
      <x:c r="AB71" s="43" t="str">
        <x:v>Não</x:v>
      </x:c>
      <x:c r="AC71" s="44"/>
      <x:c r="AD71" s="44"/>
      <x:c r="AE71" s="44"/>
      <x:c r="AF71" s="44"/>
      <x:c r="AG71" s="43"/>
      <x:c r="AH71" s="43"/>
      <x:c r="AI71" s="43" t="str">
        <x:v>Não</x:v>
      </x:c>
      <x:c r="AJ71" s="43"/>
      <x:c r="AK71" s="43"/>
      <x:c r="AL71" s="43" t="str">
        <x:v>https://perfildaindustria.portaldaindustria.com.br/estado/tudo/sp</x:v>
      </x:c>
      <x:c r="AM71" s="43" t="str">
        <x:v>https://br.automation.camozzi.com/contatos/brasil-locale-sales/</x:v>
      </x:c>
      <x:c r="AN71" s="43" t="str">
        <x:v>Pesquise a empresa Intertac Componentes Industriais, de Hortolândia/SP,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71" s="43" t="str">
        <x:v>2026-07-24 v1</x:v>
      </x:c>
    </x:row>
    <x:row r="72" ht="72" customHeight="1">
      <x:c r="A72" s="43" t="n">
        <x:v>71</x:v>
      </x:c>
      <x:c r="B72" s="43" t="str">
        <x:v>Diniz Vedações</x:v>
      </x:c>
      <x:c r="C72" s="43" t="str">
        <x:v>Vedações</x:v>
      </x:c>
      <x:c r="D72" s="43" t="str">
        <x:v>Indaiatuba</x:v>
      </x:c>
      <x:c r="E72" s="43" t="str">
        <x:v>SP</x:v>
      </x:c>
      <x:c r="F72" s="43" t="str">
        <x:v>Sudeste</x:v>
      </x:c>
      <x:c r="G72" s="43" t="str">
        <x:v>B - Média</x:v>
      </x:c>
      <x:c r="H72" s="43" t="str">
        <x:v>Não contatado</x:v>
      </x:c>
      <x:c r="I72" s="43" t="str">
        <x:v>diniz@dinizvedacao.com.br</x:v>
      </x:c>
      <x:c r="J72" s="43" t="str">
        <x:v>https://dinizvedacao.com.br/contato</x:v>
      </x:c>
      <x:c r="K72" s="43" t="str">
        <x:v>Sim</x:v>
      </x:c>
      <x:c r="L72" s="43" t="str">
        <x:v>especialista ou revenda de vedações industriais</x:v>
      </x:c>
      <x:c r="M72" s="43" t="str">
        <x:v>máquinas, automotivo, químico, alimentos e manutenção industrial</x:v>
      </x:c>
      <x:c r="N72" s="43" t="str">
        <x:v>gaxetas, raspadores, anéis guia, vedações de haste e pistão, retentores especiais e reposições fora de linha</x:v>
      </x:c>
      <x:c r="O72" s="43" t="str">
        <x:v>peças sob medida em PTFE puro ou carregado, poliuretano, NBR, FKM, nylon e outros materiais técnicos</x:v>
      </x:c>
      <x:c r="P72" s="43" t="str">
        <x:v>complementar o portfólio com itens especiais, pequenas e médias séries, urgências e fabricação por desenho ou amostra</x:v>
      </x:c>
      <x:c r="Q72" s="43" t="str">
        <x:v>Segmento da base: Vedações; localização: Indaiatuba/SP; contexto industrial regional usado apenas como hipótese comercial. Domínio do e-mail coincide com a fonte oficial. Nenhuma afirmação sobre clientes ou aplicações específicas da empresa foi feita sem fonte.</x:v>
      </x:c>
      <x:c r="R72" s="43" t="str">
        <x:v>Alta</x:v>
      </x:c>
      <x:c r="S72" s="43" t="str">
        <x:v>Recomendada</x:v>
      </x:c>
      <x:c r="T72" s="43" t="str">
        <x:v>Demandas fora de catálogo na Diniz Vedações</x:v>
      </x:c>
      <x:c r="U72" s="43" t="str">
        <x:v>Olá, equipe da Diniz Vedações,</x:v>
      </x:c>
      <x:c r="V72" s="43" t="str">
        <x:v>Olá, equipe da Diniz Vedações,
Gostaria de apresentar uma possibilidade de apoio complementar à Diniz Vedações para peças especiais, urgências e reposições fora de catálogo.
Em Indaiatuba/SP,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72" s="43" t="str">
        <x:v>Olá, equipe da Diniz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72" s="43" t="str">
        <x:v>Olá, equipe da Diniz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72" s="43" t="str">
        <x:v>Vocês recebem consultas de peças especiais que acabam sem atendimento por prazo, material, quantidade ou ausência de desenho?</x:v>
      </x:c>
      <x:c r="Z72" s="43" t="str">
        <x:v>Este contato foi direcionado a um canal corporativo público por possível aderência entre as atividades das empresas. Para não receber novas mensagens da Parts Seals, responda com REMOVER.</x:v>
      </x:c>
      <x:c r="AA72" s="43" t="str">
        <x:v>Aguardando aprovação</x:v>
      </x:c>
      <x:c r="AB72" s="43" t="str">
        <x:v>Não</x:v>
      </x:c>
      <x:c r="AC72" s="44"/>
      <x:c r="AD72" s="44"/>
      <x:c r="AE72" s="44"/>
      <x:c r="AF72" s="44"/>
      <x:c r="AG72" s="43"/>
      <x:c r="AH72" s="43"/>
      <x:c r="AI72" s="43" t="str">
        <x:v>Não</x:v>
      </x:c>
      <x:c r="AJ72" s="43"/>
      <x:c r="AK72" s="43"/>
      <x:c r="AL72" s="43" t="str">
        <x:v>https://perfildaindustria.portaldaindustria.com.br/estado/tudo/sp</x:v>
      </x:c>
      <x:c r="AM72" s="43" t="str">
        <x:v>https://dinizvedacao.com.br/contato</x:v>
      </x:c>
      <x:c r="AN72" s="43" t="str">
        <x:v>Pesquise a empresa Diniz Vedações, de Indaiatuba/SP,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72" s="43" t="str">
        <x:v>2026-07-24 v1</x:v>
      </x:c>
    </x:row>
    <x:row r="73" ht="72" customHeight="1">
      <x:c r="A73" s="43" t="n">
        <x:v>72</x:v>
      </x:c>
      <x:c r="B73" s="43" t="str">
        <x:v>House Seal</x:v>
      </x:c>
      <x:c r="C73" s="43" t="str">
        <x:v>Vedações</x:v>
      </x:c>
      <x:c r="D73" s="43" t="str">
        <x:v>Indaiatuba</x:v>
      </x:c>
      <x:c r="E73" s="43" t="str">
        <x:v>SP</x:v>
      </x:c>
      <x:c r="F73" s="43" t="str">
        <x:v>Sudeste</x:v>
      </x:c>
      <x:c r="G73" s="43" t="str">
        <x:v>A - Alta</x:v>
      </x:c>
      <x:c r="H73" s="43" t="str">
        <x:v>Não contatado</x:v>
      </x:c>
      <x:c r="I73" s="43"/>
      <x:c r="J73" s="43" t="str">
        <x:v>Não localizado em fonte pública confiável até 24/07/2026</x:v>
      </x:c>
      <x:c r="K73" s="43" t="str">
        <x:v>Não</x:v>
      </x:c>
      <x:c r="L73" s="43" t="str">
        <x:v>especialista ou revenda de vedações industriais</x:v>
      </x:c>
      <x:c r="M73" s="43" t="str">
        <x:v>máquinas, automotivo, químico, alimentos e manutenção industrial</x:v>
      </x:c>
      <x:c r="N73" s="43" t="str">
        <x:v>gaxetas, raspadores, anéis guia, vedações de haste e pistão, retentores especiais e reposições fora de linha</x:v>
      </x:c>
      <x:c r="O73" s="43" t="str">
        <x:v>peças sob medida em PTFE puro ou carregado, poliuretano, NBR, FKM, nylon e outros materiais técnicos</x:v>
      </x:c>
      <x:c r="P73" s="43" t="str">
        <x:v>complementar o portfólio com itens especiais, pequenas e médias séries, urgências e fabricação por desenho ou amostra</x:v>
      </x:c>
      <x:c r="Q73" s="43" t="str">
        <x:v>Segmento da base: Vedações; localização: Indaiatuba/SP; contexto industrial regional usado apenas como hipótese comercial. Sem e-mail público localizado. Nenhuma afirmação sobre clientes ou aplicações específicas da empresa foi feita sem fonte.</x:v>
      </x:c>
      <x:c r="R73" s="43" t="str">
        <x:v>Baixa</x:v>
      </x:c>
      <x:c r="S73" s="43" t="str">
        <x:v>Sim</x:v>
      </x:c>
      <x:c r="T73" s="43" t="str">
        <x:v>Peças especiais para complementar o atendimento da House Seal</x:v>
      </x:c>
      <x:c r="U73" s="43" t="str">
        <x:v>Olá, equipe da House Seal,</x:v>
      </x:c>
      <x:c r="V73" s="43" t="str">
        <x:v>Olá, equipe da House Seal,
Estou entrando em contato porque a atuação da House Seal em vedações tem boa aderência ao tipo de fabricação especial que realizamos na Parts Seals.
Em Indaiatuba/SP,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73" s="43" t="str">
        <x:v>Olá, equipe da House Seal,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73" s="43" t="str">
        <x:v>Olá, equipe da House Seal,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73" s="43" t="str">
        <x:v>Vocês recebem consultas de peças especiais que acabam sem atendimento por prazo, material, quantidade ou ausência de desenho?</x:v>
      </x:c>
      <x:c r="Z73" s="43" t="str">
        <x:v>Este contato foi direcionado a um canal corporativo público por possível aderência entre as atividades das empresas. Para não receber novas mensagens da Parts Seals, responda com REMOVER.</x:v>
      </x:c>
      <x:c r="AA73" s="43" t="str">
        <x:v>Sem e-mail</x:v>
      </x:c>
      <x:c r="AB73" s="43" t="str">
        <x:v>Não</x:v>
      </x:c>
      <x:c r="AC73" s="44"/>
      <x:c r="AD73" s="44"/>
      <x:c r="AE73" s="44"/>
      <x:c r="AF73" s="44"/>
      <x:c r="AG73" s="43"/>
      <x:c r="AH73" s="43"/>
      <x:c r="AI73" s="43" t="str">
        <x:v>Não</x:v>
      </x:c>
      <x:c r="AJ73" s="43"/>
      <x:c r="AK73" s="43"/>
      <x:c r="AL73" s="43" t="str">
        <x:v>https://perfildaindustria.portaldaindustria.com.br/estado/tudo/sp</x:v>
      </x:c>
      <x:c r="AM73" s="43" t="str">
        <x:v>Não localizado em fonte pública confiável até 24/07/2026</x:v>
      </x:c>
      <x:c r="AN73" s="43" t="str">
        <x:v>Pesquise a empresa House Seal, de Indaiatuba/SP,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73" s="43" t="str">
        <x:v>2026-07-24 v1</x:v>
      </x:c>
    </x:row>
    <x:row r="74" ht="72" customHeight="1">
      <x:c r="A74" s="43" t="n">
        <x:v>73</x:v>
      </x:c>
      <x:c r="B74" s="43" t="str">
        <x:v>Mac Vedações</x:v>
      </x:c>
      <x:c r="C74" s="43" t="str">
        <x:v>Fabricante/Vedações</x:v>
      </x:c>
      <x:c r="D74" s="43" t="str">
        <x:v>Itaquaquecetuba</x:v>
      </x:c>
      <x:c r="E74" s="43" t="str">
        <x:v>SP</x:v>
      </x:c>
      <x:c r="F74" s="43" t="str">
        <x:v>Sudeste</x:v>
      </x:c>
      <x:c r="G74" s="43" t="str">
        <x:v>A - Alta</x:v>
      </x:c>
      <x:c r="H74" s="43" t="str">
        <x:v>Não contatado</x:v>
      </x:c>
      <x:c r="I74" s="43" t="str">
        <x:v>macvedacoes@gmail.com</x:v>
      </x:c>
      <x:c r="J74" s="43" t="str">
        <x:v>https://www.instagram.com/p/CuuRCzBAF4m/</x:v>
      </x:c>
      <x:c r="K74" s="43" t="str">
        <x:v>Sim</x:v>
      </x:c>
      <x:c r="L74" s="43" t="str">
        <x:v>fabricante ou transformador especializado em vedações</x:v>
      </x:c>
      <x:c r="M74" s="43" t="str">
        <x:v>máquinas, automotivo, químico, alimentos e manutenção industrial</x:v>
      </x:c>
      <x:c r="N74" s="43" t="str">
        <x:v>itens fora de padrão, picos de demanda, protótipos, reposições urgentes e lotes que exigem processo ou material específico</x:v>
      </x:c>
      <x:c r="O74" s="43" t="str">
        <x:v>componentes usinados e moldados em PTFE puro ou carregado, PU, NBR, FKM e materiais técnicos, conforme desenho ou amostra</x:v>
      </x:c>
      <x:c r="P74" s="43" t="str">
        <x:v>atuar como apoio produtivo complementar, preservando a relação comercial de vocês com o cliente final</x:v>
      </x:c>
      <x:c r="Q74" s="43" t="str">
        <x:v>Segmento da base: Fabricante/Vedações; localização: Itaquaquecetuba/SP; contexto industrial regional usado apenas como hipótese comercial. Contato publicado em perfil ou diretório institucional. Nenhuma afirmação sobre clientes ou aplicações específicas da empresa foi feita sem fonte.</x:v>
      </x:c>
      <x:c r="R74" s="43" t="str">
        <x:v>Moderada</x:v>
      </x:c>
      <x:c r="S74" s="43" t="str">
        <x:v>Sim</x:v>
      </x:c>
      <x:c r="T74" s="43" t="str">
        <x:v>Parceria para picos de demanda e peças especiais</x:v>
      </x:c>
      <x:c r="U74" s="43" t="str">
        <x:v>Olá, equipe da Mac Vedações,</x:v>
      </x:c>
      <x:c r="V74" s="43" t="str">
        <x:v>Olá, equipe da Mac Vedações,
Ao analisar o perfil da Mac Vedações em Itaquaquecetuba, identifiquei uma possibilidade de parceria para demandas de vedação que não se encaixam bem em linhas padronizadas.
Em Itaquaquecetuba/SP, cadeias como máquinas, automotivo, químico, alimentos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74" s="43" t="str">
        <x:v>Olá, equipe da Mac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74" s="43" t="str">
        <x:v>Olá, equipe da Mac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74" s="43" t="str">
        <x:v>Existe hoje algum item especial, urgente ou de baixa quantidade que esteja ocupando capacidade ou ficando sem atendimento?</x:v>
      </x:c>
      <x:c r="Z74" s="43" t="str">
        <x:v>Este contato foi direcionado a um canal corporativo público por possível aderência entre as atividades das empresas. Para não receber novas mensagens da Parts Seals, responda com REMOVER.</x:v>
      </x:c>
      <x:c r="AA74" s="43" t="str">
        <x:v>Aguardando aprovação</x:v>
      </x:c>
      <x:c r="AB74" s="43" t="str">
        <x:v>Não</x:v>
      </x:c>
      <x:c r="AC74" s="44"/>
      <x:c r="AD74" s="44"/>
      <x:c r="AE74" s="44"/>
      <x:c r="AF74" s="44"/>
      <x:c r="AG74" s="43"/>
      <x:c r="AH74" s="43"/>
      <x:c r="AI74" s="43" t="str">
        <x:v>Não</x:v>
      </x:c>
      <x:c r="AJ74" s="43"/>
      <x:c r="AK74" s="43"/>
      <x:c r="AL74" s="43" t="str">
        <x:v>https://perfildaindustria.portaldaindustria.com.br/estado/tudo/sp</x:v>
      </x:c>
      <x:c r="AM74" s="43" t="str">
        <x:v>https://www.instagram.com/p/CuuRCzBAF4m/</x:v>
      </x:c>
      <x:c r="AN74" s="43" t="str">
        <x:v>Pesquise a empresa Mac Vedações, de Itaquaquecetuba/SP,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74" s="43" t="str">
        <x:v>2026-07-24 v1</x:v>
      </x:c>
    </x:row>
    <x:row r="75" ht="72" customHeight="1">
      <x:c r="A75" s="43" t="n">
        <x:v>74</x:v>
      </x:c>
      <x:c r="B75" s="43" t="str">
        <x:v>Qualived Vedações Industriais</x:v>
      </x:c>
      <x:c r="C75" s="43" t="str">
        <x:v>Vedações</x:v>
      </x:c>
      <x:c r="D75" s="43" t="str">
        <x:v>Jacareí</x:v>
      </x:c>
      <x:c r="E75" s="43" t="str">
        <x:v>SP</x:v>
      </x:c>
      <x:c r="F75" s="43" t="str">
        <x:v>Sudeste</x:v>
      </x:c>
      <x:c r="G75" s="43" t="str">
        <x:v>A - Alta</x:v>
      </x:c>
      <x:c r="H75" s="43" t="str">
        <x:v>Não contatado</x:v>
      </x:c>
      <x:c r="I75" s="43" t="str">
        <x:v>qualived_vale@qualived.com.br</x:v>
      </x:c>
      <x:c r="J75" s="43" t="str">
        <x:v>https://carabinasdear.com.br/caforum/index.php?/topic/530-órings/</x:v>
      </x:c>
      <x:c r="K75" s="43" t="str">
        <x:v>Sim</x:v>
      </x:c>
      <x:c r="L75" s="43" t="str">
        <x:v>especialista ou revenda de vedações industriais</x:v>
      </x:c>
      <x:c r="M75" s="43" t="str">
        <x:v>máquinas, automotivo, químico, alimentos e manutenção industrial</x:v>
      </x:c>
      <x:c r="N75" s="43" t="str">
        <x:v>gaxetas, raspadores, anéis guia, vedações de haste e pistão, retentores especiais e reposições fora de linha</x:v>
      </x:c>
      <x:c r="O75" s="43" t="str">
        <x:v>peças sob medida em PTFE puro ou carregado, poliuretano, NBR, FKM, nylon e outros materiais técnicos</x:v>
      </x:c>
      <x:c r="P75" s="43" t="str">
        <x:v>complementar o portfólio com itens especiais, pequenas e médias séries, urgências e fabricação por desenho ou amostra</x:v>
      </x:c>
      <x:c r="Q75" s="43" t="str">
        <x:v>Segmento da base: Vedações; localização: Jacareí/SP; contexto industrial regional usado apenas como hipótese comercial. Fonte pública associada à empresa. Nenhuma afirmação sobre clientes ou aplicações específicas da empresa foi feita sem fonte.</x:v>
      </x:c>
      <x:c r="R75" s="43" t="str">
        <x:v>Moderada</x:v>
      </x:c>
      <x:c r="S75" s="43" t="str">
        <x:v>Sim</x:v>
      </x:c>
      <x:c r="T75" s="43" t="str">
        <x:v>Apoio em vedações sob medida para a Qualived Vedações Industriais</x:v>
      </x:c>
      <x:c r="U75" s="43" t="str">
        <x:v>Olá, equipe da Qualived Vedações Industriais,</x:v>
      </x:c>
      <x:c r="V75" s="43" t="str">
        <x:v>Olá, equipe da Qualived Vedações Industriais,
A Parts Seals está ampliando parcerias com empresas técnicas do setor, e o perfil da Qualived Vedações Industriais chamou nossa atenção pela atuação em vedações.
Em Jacareí/SP,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75" s="43" t="str">
        <x:v>Olá, equipe da Qualived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75" s="43" t="str">
        <x:v>Olá, equipe da Qualived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75" s="43" t="str">
        <x:v>Vocês recebem consultas de peças especiais que acabam sem atendimento por prazo, material, quantidade ou ausência de desenho?</x:v>
      </x:c>
      <x:c r="Z75" s="43" t="str">
        <x:v>Este contato foi direcionado a um canal corporativo público por possível aderência entre as atividades das empresas. Para não receber novas mensagens da Parts Seals, responda com REMOVER.</x:v>
      </x:c>
      <x:c r="AA75" s="43" t="str">
        <x:v>Aguardando aprovação</x:v>
      </x:c>
      <x:c r="AB75" s="43" t="str">
        <x:v>Não</x:v>
      </x:c>
      <x:c r="AC75" s="44"/>
      <x:c r="AD75" s="44"/>
      <x:c r="AE75" s="44"/>
      <x:c r="AF75" s="44"/>
      <x:c r="AG75" s="43"/>
      <x:c r="AH75" s="43"/>
      <x:c r="AI75" s="43" t="str">
        <x:v>Não</x:v>
      </x:c>
      <x:c r="AJ75" s="43"/>
      <x:c r="AK75" s="43"/>
      <x:c r="AL75" s="43" t="str">
        <x:v>https://perfildaindustria.portaldaindustria.com.br/estado/tudo/sp</x:v>
      </x:c>
      <x:c r="AM75" s="43" t="str">
        <x:v>https://carabinasdear.com.br/caforum/index.php?/topic/530-órings/</x:v>
      </x:c>
      <x:c r="AN75" s="43" t="str">
        <x:v>Pesquise a empresa Qualived Vedações Industriais, de Jacareí/SP,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75" s="43" t="str">
        <x:v>2026-07-24 v1</x:v>
      </x:c>
    </x:row>
    <x:row r="76" ht="72" customHeight="1">
      <x:c r="A76" s="43" t="n">
        <x:v>75</x:v>
      </x:c>
      <x:c r="B76" s="43" t="str">
        <x:v>Stampflex Soluções em Vedação</x:v>
      </x:c>
      <x:c r="C76" s="43" t="str">
        <x:v>Fabricante/Vedações</x:v>
      </x:c>
      <x:c r="D76" s="43" t="str">
        <x:v>Jacareí</x:v>
      </x:c>
      <x:c r="E76" s="43" t="str">
        <x:v>SP</x:v>
      </x:c>
      <x:c r="F76" s="43" t="str">
        <x:v>Sudeste</x:v>
      </x:c>
      <x:c r="G76" s="43" t="str">
        <x:v>B - Média</x:v>
      </x:c>
      <x:c r="H76" s="43" t="str">
        <x:v>Não contatado</x:v>
      </x:c>
      <x:c r="I76" s="43" t="str">
        <x:v>stampflex@stampflex.com.br</x:v>
      </x:c>
      <x:c r="J76" s="43" t="str">
        <x:v>https://market.meettaiwan.com/taitraesource/upload/library_library/Siderurgia.pdf</x:v>
      </x:c>
      <x:c r="K76" s="43" t="str">
        <x:v>Sim</x:v>
      </x:c>
      <x:c r="L76" s="43" t="str">
        <x:v>fabricante ou transformador especializado em vedações</x:v>
      </x:c>
      <x:c r="M76" s="43" t="str">
        <x:v>máquinas, automotivo, químico, alimentos e manutenção industrial</x:v>
      </x:c>
      <x:c r="N76" s="43" t="str">
        <x:v>itens fora de padrão, picos de demanda, protótipos, reposições urgentes e lotes que exigem processo ou material específico</x:v>
      </x:c>
      <x:c r="O76" s="43" t="str">
        <x:v>componentes usinados e moldados em PTFE puro ou carregado, PU, NBR, FKM e materiais técnicos, conforme desenho ou amostra</x:v>
      </x:c>
      <x:c r="P76" s="43" t="str">
        <x:v>atuar como apoio produtivo complementar, preservando a relação comercial de vocês com o cliente final</x:v>
      </x:c>
      <x:c r="Q76" s="43" t="str">
        <x:v>Segmento da base: Fabricante/Vedações; localização: Jacareí/SP; contexto industrial regional usado apenas como hipótese comercial. Contato publicado em documento de fabricante ou distribuidor. Nenhuma afirmação sobre clientes ou aplicações específicas da empresa foi feita sem fonte.</x:v>
      </x:c>
      <x:c r="R76" s="43" t="str">
        <x:v>Moderada</x:v>
      </x:c>
      <x:c r="S76" s="43" t="str">
        <x:v>Sim</x:v>
      </x:c>
      <x:c r="T76" s="43" t="str">
        <x:v>Itens urgentes ou fora de padrão — Stampflex Soluções em Vedação</x:v>
      </x:c>
      <x:c r="U76" s="43" t="str">
        <x:v>Olá, equipe da Stampflex Soluções em Vedação,</x:v>
      </x:c>
      <x:c r="V76" s="43" t="str">
        <x:v>Olá, equipe da Stampflex Soluções em Vedação,
Gostaria de apresentar uma possibilidade de apoio complementar à Stampflex Soluções em Vedação para peças especiais, urgências e reposições fora de catálogo.
Em Jacareí/SP, cadeias como máquinas, automotivo, químico, alimentos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76" s="43" t="str">
        <x:v>Olá, equipe da Stampflex Soluções em Vedação,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76" s="43" t="str">
        <x:v>Olá, equipe da Stampflex Soluções em Vedação,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76" s="43" t="str">
        <x:v>Existe hoje algum item especial, urgente ou de baixa quantidade que esteja ocupando capacidade ou ficando sem atendimento?</x:v>
      </x:c>
      <x:c r="Z76" s="43" t="str">
        <x:v>Este contato foi direcionado a um canal corporativo público por possível aderência entre as atividades das empresas. Para não receber novas mensagens da Parts Seals, responda com REMOVER.</x:v>
      </x:c>
      <x:c r="AA76" s="43" t="str">
        <x:v>Aguardando aprovação</x:v>
      </x:c>
      <x:c r="AB76" s="43" t="str">
        <x:v>Não</x:v>
      </x:c>
      <x:c r="AC76" s="44"/>
      <x:c r="AD76" s="44"/>
      <x:c r="AE76" s="44"/>
      <x:c r="AF76" s="44"/>
      <x:c r="AG76" s="43"/>
      <x:c r="AH76" s="43"/>
      <x:c r="AI76" s="43" t="str">
        <x:v>Não</x:v>
      </x:c>
      <x:c r="AJ76" s="43"/>
      <x:c r="AK76" s="43"/>
      <x:c r="AL76" s="43" t="str">
        <x:v>https://perfildaindustria.portaldaindustria.com.br/estado/tudo/sp</x:v>
      </x:c>
      <x:c r="AM76" s="43" t="str">
        <x:v>https://market.meettaiwan.com/taitraesource/upload/library_library/Siderurgia.pdf</x:v>
      </x:c>
      <x:c r="AN76" s="43" t="str">
        <x:v>Pesquise a empresa Stampflex Soluções em Vedação, de Jacareí/SP,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76" s="43" t="str">
        <x:v>2026-07-24 v1</x:v>
      </x:c>
    </x:row>
    <x:row r="77" ht="72" customHeight="1">
      <x:c r="A77" s="43" t="n">
        <x:v>76</x:v>
      </x:c>
      <x:c r="B77" s="43" t="str">
        <x:v>Vale Seals Comércio e Serviços de Vedações</x:v>
      </x:c>
      <x:c r="C77" s="43" t="str">
        <x:v>Vedações</x:v>
      </x:c>
      <x:c r="D77" s="43" t="str">
        <x:v>Jacareí</x:v>
      </x:c>
      <x:c r="E77" s="43" t="str">
        <x:v>SP</x:v>
      </x:c>
      <x:c r="F77" s="43" t="str">
        <x:v>Sudeste</x:v>
      </x:c>
      <x:c r="G77" s="43" t="str">
        <x:v>A - Alta</x:v>
      </x:c>
      <x:c r="H77" s="43" t="str">
        <x:v>Não contatado</x:v>
      </x:c>
      <x:c r="I77" s="43" t="str">
        <x:v>contato@valeseals.com.br</x:v>
      </x:c>
      <x:c r="J77" s="43" t="str">
        <x:v>https://www.valeseals.com.br/site/?page_id=1126</x:v>
      </x:c>
      <x:c r="K77" s="43" t="str">
        <x:v>Sim</x:v>
      </x:c>
      <x:c r="L77" s="43" t="str">
        <x:v>especialista ou revenda de vedações industriais</x:v>
      </x:c>
      <x:c r="M77" s="43" t="str">
        <x:v>máquinas, automotivo, químico, alimentos e manutenção industrial</x:v>
      </x:c>
      <x:c r="N77" s="43" t="str">
        <x:v>gaxetas, raspadores, anéis guia, vedações de haste e pistão, retentores especiais e reposições fora de linha</x:v>
      </x:c>
      <x:c r="O77" s="43" t="str">
        <x:v>peças sob medida em PTFE puro ou carregado, poliuretano, NBR, FKM, nylon e outros materiais técnicos</x:v>
      </x:c>
      <x:c r="P77" s="43" t="str">
        <x:v>complementar o portfólio com itens especiais, pequenas e médias séries, urgências e fabricação por desenho ou amostra</x:v>
      </x:c>
      <x:c r="Q77" s="43" t="str">
        <x:v>Segmento da base: Vedações; localização: Jacareí/SP; contexto industrial regional usado apenas como hipótese comercial. Domínio do e-mail coincide com a fonte oficial. Nenhuma afirmação sobre clientes ou aplicações específicas da empresa foi feita sem fonte.</x:v>
      </x:c>
      <x:c r="R77" s="43" t="str">
        <x:v>Alta</x:v>
      </x:c>
      <x:c r="S77" s="43" t="str">
        <x:v>Recomendada</x:v>
      </x:c>
      <x:c r="T77" s="43" t="str">
        <x:v>Peças especiais para complementar o atendimento da Vale Seals Comércio e Serviços de Vedações</x:v>
      </x:c>
      <x:c r="U77" s="43" t="str">
        <x:v>Olá, equipe da Vale Seals Comércio e Serviços de Vedações,</x:v>
      </x:c>
      <x:c r="V77" s="43" t="str">
        <x:v>Olá, equipe da Vale Seals Comércio e Serviços de Vedações,
Estou entrando em contato porque a atuação da Vale Seals Comércio e Serviços de Vedações em vedações tem boa aderência ao tipo de fabricação especial que realizamos na Parts Seals.
Em Jacareí/SP,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77" s="43" t="str">
        <x:v>Olá, equipe da Vale Seals Comércio e Serviços de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77" s="43" t="str">
        <x:v>Olá, equipe da Vale Seals Comércio e Serviços de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77" s="43" t="str">
        <x:v>Vocês recebem consultas de peças especiais que acabam sem atendimento por prazo, material, quantidade ou ausência de desenho?</x:v>
      </x:c>
      <x:c r="Z77" s="43" t="str">
        <x:v>Este contato foi direcionado a um canal corporativo público por possível aderência entre as atividades das empresas. Para não receber novas mensagens da Parts Seals, responda com REMOVER.</x:v>
      </x:c>
      <x:c r="AA77" s="43" t="str">
        <x:v>Aguardando aprovação</x:v>
      </x:c>
      <x:c r="AB77" s="43" t="str">
        <x:v>Não</x:v>
      </x:c>
      <x:c r="AC77" s="44"/>
      <x:c r="AD77" s="44"/>
      <x:c r="AE77" s="44"/>
      <x:c r="AF77" s="44"/>
      <x:c r="AG77" s="43"/>
      <x:c r="AH77" s="43"/>
      <x:c r="AI77" s="43" t="str">
        <x:v>Não</x:v>
      </x:c>
      <x:c r="AJ77" s="43"/>
      <x:c r="AK77" s="43"/>
      <x:c r="AL77" s="43" t="str">
        <x:v>https://perfildaindustria.portaldaindustria.com.br/estado/tudo/sp</x:v>
      </x:c>
      <x:c r="AM77" s="43" t="str">
        <x:v>https://www.valeseals.com.br/site/?page_id=1126</x:v>
      </x:c>
      <x:c r="AN77" s="43" t="str">
        <x:v>Pesquise a empresa Vale Seals Comércio e Serviços de Vedações, de Jacareí/SP,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77" s="43" t="str">
        <x:v>2026-07-24 v1</x:v>
      </x:c>
    </x:row>
    <x:row r="78" ht="72" customHeight="1">
      <x:c r="A78" s="43" t="n">
        <x:v>77</x:v>
      </x:c>
      <x:c r="B78" s="43" t="str">
        <x:v>Agapro Vedações e Equipamentos Industriais</x:v>
      </x:c>
      <x:c r="C78" s="43" t="str">
        <x:v>Vedações</x:v>
      </x:c>
      <x:c r="D78" s="43" t="str">
        <x:v>Jundiaí</x:v>
      </x:c>
      <x:c r="E78" s="43" t="str">
        <x:v>SP</x:v>
      </x:c>
      <x:c r="F78" s="43" t="str">
        <x:v>Sudeste</x:v>
      </x:c>
      <x:c r="G78" s="43" t="str">
        <x:v>C - Baixa</x:v>
      </x:c>
      <x:c r="H78" s="43" t="str">
        <x:v>Não contatado</x:v>
      </x:c>
      <x:c r="I78" s="43" t="str">
        <x:v>contato@agapro.com.br</x:v>
      </x:c>
      <x:c r="J78" s="43" t="str">
        <x:v>https://agapro.com.br/</x:v>
      </x:c>
      <x:c r="K78" s="43" t="str">
        <x:v>Sim</x:v>
      </x:c>
      <x:c r="L78" s="43" t="str">
        <x:v>especialista ou revenda de vedações industriais</x:v>
      </x:c>
      <x:c r="M78" s="43" t="str">
        <x:v>máquinas, automotivo, alimentos, bebidas e logística industrial</x:v>
      </x:c>
      <x:c r="N78" s="43" t="str">
        <x:v>gaxetas, raspadores, anéis guia, vedações de haste e pistão, retentores especiais e reposições fora de linha</x:v>
      </x:c>
      <x:c r="O78" s="43" t="str">
        <x:v>peças sob medida em PTFE puro ou carregado, poliuretano, NBR, FKM, nylon e outros materiais técnicos</x:v>
      </x:c>
      <x:c r="P78" s="43" t="str">
        <x:v>complementar o portfólio com itens especiais, pequenas e médias séries, urgências e fabricação por desenho ou amostra</x:v>
      </x:c>
      <x:c r="Q78" s="43" t="str">
        <x:v>Segmento da base: Vedações; localização: Jundiaí/SP; contexto industrial regional usado apenas como hipótese comercial. Domínio do e-mail coincide com a fonte oficial. Nenhuma afirmação sobre clientes ou aplicações específicas da empresa foi feita sem fonte.</x:v>
      </x:c>
      <x:c r="R78" s="43" t="str">
        <x:v>Alta</x:v>
      </x:c>
      <x:c r="S78" s="43" t="str">
        <x:v>Recomendada</x:v>
      </x:c>
      <x:c r="T78" s="43" t="str">
        <x:v>Possível parceria técnica — Agapro Vedações e Equipamentos Industriais e Parts Seals</x:v>
      </x:c>
      <x:c r="U78" s="43" t="str">
        <x:v>Olá, equipe da Agapro Vedações e Equipamentos Industriais,</x:v>
      </x:c>
      <x:c r="V78" s="43" t="str">
        <x:v>Olá, equipe da Agapro Vedações e Equipamentos Industriais,
Ao analisar o perfil da Agapro Vedações e Equipamentos Industriais em Jundiaí, identifiquei uma possibilidade de parceria para demandas de vedação que não se encaixam bem em linhas padronizadas.
Em Jundiaí/SP, cadeias como máquinas, automotivo, alimentos, bebidas e logística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78" s="43" t="str">
        <x:v>Olá, equipe da Agapro Vedações e Equipamentos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78" s="43" t="str">
        <x:v>Olá, equipe da Agapro Vedações e Equipamentos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78" s="43" t="str">
        <x:v>Vocês recebem consultas de peças especiais que acabam sem atendimento por prazo, material, quantidade ou ausência de desenho?</x:v>
      </x:c>
      <x:c r="Z78" s="43" t="str">
        <x:v>Este contato foi direcionado a um canal corporativo público por possível aderência entre as atividades das empresas. Para não receber novas mensagens da Parts Seals, responda com REMOVER.</x:v>
      </x:c>
      <x:c r="AA78" s="43" t="str">
        <x:v>Aguardando aprovação</x:v>
      </x:c>
      <x:c r="AB78" s="43" t="str">
        <x:v>Não</x:v>
      </x:c>
      <x:c r="AC78" s="44"/>
      <x:c r="AD78" s="44"/>
      <x:c r="AE78" s="44"/>
      <x:c r="AF78" s="44"/>
      <x:c r="AG78" s="43"/>
      <x:c r="AH78" s="43"/>
      <x:c r="AI78" s="43" t="str">
        <x:v>Não</x:v>
      </x:c>
      <x:c r="AJ78" s="43"/>
      <x:c r="AK78" s="43"/>
      <x:c r="AL78" s="43" t="str">
        <x:v>https://perfildaindustria.portaldaindustria.com.br/estado/tudo/sp</x:v>
      </x:c>
      <x:c r="AM78" s="43" t="str">
        <x:v>https://agapro.com.br/</x:v>
      </x:c>
      <x:c r="AN78" s="43" t="str">
        <x:v>Pesquise a empresa Agapro Vedações e Equipamentos Industriais, de Jundiaí/SP,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78" s="43" t="str">
        <x:v>2026-07-24 v1</x:v>
      </x:c>
    </x:row>
    <x:row r="79" ht="72" customHeight="1">
      <x:c r="A79" s="43" t="n">
        <x:v>78</x:v>
      </x:c>
      <x:c r="B79" s="43" t="str">
        <x:v>Mestra Vedações</x:v>
      </x:c>
      <x:c r="C79" s="43" t="str">
        <x:v>Vedações</x:v>
      </x:c>
      <x:c r="D79" s="43" t="str">
        <x:v>Jundiaí</x:v>
      </x:c>
      <x:c r="E79" s="43" t="str">
        <x:v>SP</x:v>
      </x:c>
      <x:c r="F79" s="43" t="str">
        <x:v>Sudeste</x:v>
      </x:c>
      <x:c r="G79" s="43" t="str">
        <x:v>B - Média</x:v>
      </x:c>
      <x:c r="H79" s="43" t="str">
        <x:v>Não contatado</x:v>
      </x:c>
      <x:c r="I79" s="43" t="str">
        <x:v>contato@mestravedacoes.com.br</x:v>
      </x:c>
      <x:c r="J79" s="43" t="str">
        <x:v>https://mestravedacoes.com.br/</x:v>
      </x:c>
      <x:c r="K79" s="43" t="str">
        <x:v>Sim</x:v>
      </x:c>
      <x:c r="L79" s="43" t="str">
        <x:v>especialista ou revenda de vedações industriais</x:v>
      </x:c>
      <x:c r="M79" s="43" t="str">
        <x:v>máquinas, automotivo, alimentos, bebidas e logística industrial</x:v>
      </x:c>
      <x:c r="N79" s="43" t="str">
        <x:v>gaxetas, raspadores, anéis guia, vedações de haste e pistão, retentores especiais e reposições fora de linha</x:v>
      </x:c>
      <x:c r="O79" s="43" t="str">
        <x:v>peças sob medida em PTFE puro ou carregado, poliuretano, NBR, FKM, nylon e outros materiais técnicos</x:v>
      </x:c>
      <x:c r="P79" s="43" t="str">
        <x:v>complementar o portfólio com itens especiais, pequenas e médias séries, urgências e fabricação por desenho ou amostra</x:v>
      </x:c>
      <x:c r="Q79" s="43" t="str">
        <x:v>Segmento da base: Vedações; localização: Jundiaí/SP; contexto industrial regional usado apenas como hipótese comercial. Domínio do e-mail coincide com a fonte oficial. Nenhuma afirmação sobre clientes ou aplicações específicas da empresa foi feita sem fonte.</x:v>
      </x:c>
      <x:c r="R79" s="43" t="str">
        <x:v>Alta</x:v>
      </x:c>
      <x:c r="S79" s="43" t="str">
        <x:v>Recomendada</x:v>
      </x:c>
      <x:c r="T79" s="43" t="str">
        <x:v>Apoio em vedações sob medida para a Mestra Vedações</x:v>
      </x:c>
      <x:c r="U79" s="43" t="str">
        <x:v>Olá, equipe da Mestra Vedações,</x:v>
      </x:c>
      <x:c r="V79" s="43" t="str">
        <x:v>Olá, equipe da Mestra Vedações,
A Parts Seals está ampliando parcerias com empresas técnicas do setor, e o perfil da Mestra Vedações chamou nossa atenção pela atuação em vedações.
Em Jundiaí/SP, cadeias como máquinas, automotivo, alimentos, bebidas e logística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79" s="43" t="str">
        <x:v>Olá, equipe da Mestra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79" s="43" t="str">
        <x:v>Olá, equipe da Mestra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79" s="43" t="str">
        <x:v>Vocês recebem consultas de peças especiais que acabam sem atendimento por prazo, material, quantidade ou ausência de desenho?</x:v>
      </x:c>
      <x:c r="Z79" s="43" t="str">
        <x:v>Este contato foi direcionado a um canal corporativo público por possível aderência entre as atividades das empresas. Para não receber novas mensagens da Parts Seals, responda com REMOVER.</x:v>
      </x:c>
      <x:c r="AA79" s="43" t="str">
        <x:v>Aguardando aprovação</x:v>
      </x:c>
      <x:c r="AB79" s="43" t="str">
        <x:v>Não</x:v>
      </x:c>
      <x:c r="AC79" s="44"/>
      <x:c r="AD79" s="44"/>
      <x:c r="AE79" s="44"/>
      <x:c r="AF79" s="44"/>
      <x:c r="AG79" s="43"/>
      <x:c r="AH79" s="43"/>
      <x:c r="AI79" s="43" t="str">
        <x:v>Não</x:v>
      </x:c>
      <x:c r="AJ79" s="43"/>
      <x:c r="AK79" s="43"/>
      <x:c r="AL79" s="43" t="str">
        <x:v>https://perfildaindustria.portaldaindustria.com.br/estado/tudo/sp</x:v>
      </x:c>
      <x:c r="AM79" s="43" t="str">
        <x:v>https://mestravedacoes.com.br/</x:v>
      </x:c>
      <x:c r="AN79" s="43" t="str">
        <x:v>Pesquise a empresa Mestra Vedações, de Jundiaí/SP,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79" s="43" t="str">
        <x:v>2026-07-24 v1</x:v>
      </x:c>
    </x:row>
    <x:row r="80" ht="72" customHeight="1">
      <x:c r="A80" s="43" t="n">
        <x:v>79</x:v>
      </x:c>
      <x:c r="B80" s="43" t="str">
        <x:v>Nascente Bearings Sealings</x:v>
      </x:c>
      <x:c r="C80" s="43" t="str">
        <x:v>Rolamentos/Vedações</x:v>
      </x:c>
      <x:c r="D80" s="43" t="str">
        <x:v>Jundiaí</x:v>
      </x:c>
      <x:c r="E80" s="43" t="str">
        <x:v>SP</x:v>
      </x:c>
      <x:c r="F80" s="43" t="str">
        <x:v>Sudeste</x:v>
      </x:c>
      <x:c r="G80" s="43" t="str">
        <x:v>B - Média</x:v>
      </x:c>
      <x:c r="H80" s="43" t="str">
        <x:v>Não contatado</x:v>
      </x:c>
      <x:c r="I80" s="43" t="str">
        <x:v>nascente@nascenterolamentos.com.br</x:v>
      </x:c>
      <x:c r="J80" s="43" t="str">
        <x:v>https://nascenterolamentos.com.br/</x:v>
      </x:c>
      <x:c r="K80" s="43" t="str">
        <x:v>Sim</x:v>
      </x:c>
      <x:c r="L80" s="43" t="str">
        <x:v>distribuidor de rolamentos, retentores e vedações</x:v>
      </x:c>
      <x:c r="M80" s="43" t="str">
        <x:v>máquinas, automotivo, alimentos, bebidas e logística industrial</x:v>
      </x:c>
      <x:c r="N80" s="43" t="str">
        <x:v>retentores especiais, anéis, vedações rotativas, kits e componentes para manutenção de máquinas</x:v>
      </x:c>
      <x:c r="O80" s="43" t="str">
        <x:v>peças especiais em NBR, FKM, PU e PTFE, inclusive medidas fora de catálogo</x:v>
      </x:c>
      <x:c r="P80" s="43" t="str">
        <x:v>complementar a linha padronizada com reposições especiais e itens descontinuados</x:v>
      </x:c>
      <x:c r="Q80" s="43" t="str">
        <x:v>Segmento da base: Rolamentos/Vedações; localização: Jundiaí/SP; contexto industrial regional usado apenas como hipótese comercial. Domínio do e-mail coincide com a fonte oficial. Nenhuma afirmação sobre clientes ou aplicações específicas da empresa foi feita sem fonte.</x:v>
      </x:c>
      <x:c r="R80" s="43" t="str">
        <x:v>Alta</x:v>
      </x:c>
      <x:c r="S80" s="43" t="str">
        <x:v>Recomendada</x:v>
      </x:c>
      <x:c r="T80" s="43" t="str">
        <x:v>Reposições especiais e itens descontinuados</x:v>
      </x:c>
      <x:c r="U80" s="43" t="str">
        <x:v>Olá, equipe da Nascente Bearings Sealings,</x:v>
      </x:c>
      <x:c r="V80" s="43" t="str">
        <x:v>Olá, equipe da Nascente Bearings Sealings,
Gostaria de apresentar uma possibilidade de apoio complementar à Nascente Bearings Sealings para peças especiais, urgências e reposições fora de catálogo.
Em Jundiaí/SP, cadeias como máquinas, automotivo, alimentos, bebidas e logística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NBR,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80" s="43" t="str">
        <x:v>Olá, equipe da Nascente Bearings Sealings,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80" s="43" t="str">
        <x:v>Olá, equipe da Nascente Bearings Sealings,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80" s="43" t="str">
        <x:v>Vocês têm pedidos de retentores ou vedações em medidas especiais que não encontram nos catálogos tradicionais?</x:v>
      </x:c>
      <x:c r="Z80" s="43" t="str">
        <x:v>Este contato foi direcionado a um canal corporativo público por possível aderência entre as atividades das empresas. Para não receber novas mensagens da Parts Seals, responda com REMOVER.</x:v>
      </x:c>
      <x:c r="AA80" s="43" t="str">
        <x:v>Aguardando aprovação</x:v>
      </x:c>
      <x:c r="AB80" s="43" t="str">
        <x:v>Não</x:v>
      </x:c>
      <x:c r="AC80" s="44"/>
      <x:c r="AD80" s="44"/>
      <x:c r="AE80" s="44"/>
      <x:c r="AF80" s="44"/>
      <x:c r="AG80" s="43"/>
      <x:c r="AH80" s="43"/>
      <x:c r="AI80" s="43" t="str">
        <x:v>Não</x:v>
      </x:c>
      <x:c r="AJ80" s="43"/>
      <x:c r="AK80" s="43"/>
      <x:c r="AL80" s="43" t="str">
        <x:v>https://perfildaindustria.portaldaindustria.com.br/estado/tudo/sp</x:v>
      </x:c>
      <x:c r="AM80" s="43" t="str">
        <x:v>https://nascenterolamentos.com.br/</x:v>
      </x:c>
      <x:c r="AN80" s="43" t="str">
        <x:v>Pesquise a empresa Nascente Bearings Sealings, de Jundiaí/SP,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80" s="43" t="str">
        <x:v>2026-07-24 v1</x:v>
      </x:c>
    </x:row>
    <x:row r="81" ht="72" customHeight="1">
      <x:c r="A81" s="43" t="n">
        <x:v>80</x:v>
      </x:c>
      <x:c r="B81" s="43" t="str">
        <x:v>Retenfix Ind. e Com. de Vedações Industriais</x:v>
      </x:c>
      <x:c r="C81" s="43" t="str">
        <x:v>Vedações</x:v>
      </x:c>
      <x:c r="D81" s="43" t="str">
        <x:v>Jundiaí</x:v>
      </x:c>
      <x:c r="E81" s="43" t="str">
        <x:v>SP</x:v>
      </x:c>
      <x:c r="F81" s="43" t="str">
        <x:v>Sudeste</x:v>
      </x:c>
      <x:c r="G81" s="43" t="str">
        <x:v>B - Média</x:v>
      </x:c>
      <x:c r="H81" s="43" t="str">
        <x:v>Não contatado</x:v>
      </x:c>
      <x:c r="I81" s="43" t="str">
        <x:v>comercial@retenfixjundiai.com.br</x:v>
      </x:c>
      <x:c r="J81" s="43" t="str">
        <x:v>https://retenfix.com.br/contato/</x:v>
      </x:c>
      <x:c r="K81" s="43" t="str">
        <x:v>Sim</x:v>
      </x:c>
      <x:c r="L81" s="43" t="str">
        <x:v>especialista ou revenda de vedações industriais</x:v>
      </x:c>
      <x:c r="M81" s="43" t="str">
        <x:v>máquinas, automotivo, alimentos, bebidas e logística industrial</x:v>
      </x:c>
      <x:c r="N81" s="43" t="str">
        <x:v>gaxetas, raspadores, anéis guia, vedações de haste e pistão, retentores especiais e reposições fora de linha</x:v>
      </x:c>
      <x:c r="O81" s="43" t="str">
        <x:v>peças sob medida em PTFE puro ou carregado, poliuretano, NBR, FKM, nylon e outros materiais técnicos</x:v>
      </x:c>
      <x:c r="P81" s="43" t="str">
        <x:v>complementar o portfólio com itens especiais, pequenas e médias séries, urgências e fabricação por desenho ou amostra</x:v>
      </x:c>
      <x:c r="Q81" s="43" t="str">
        <x:v>Segmento da base: Vedações; localização: Jundiaí/SP; contexto industrial regional usado apenas como hipótese comercial. Fonte pública associada à empresa. Nenhuma afirmação sobre clientes ou aplicações específicas da empresa foi feita sem fonte.</x:v>
      </x:c>
      <x:c r="R81" s="43" t="str">
        <x:v>Moderada</x:v>
      </x:c>
      <x:c r="S81" s="43" t="str">
        <x:v>Sim</x:v>
      </x:c>
      <x:c r="T81" s="43" t="str">
        <x:v>Peças especiais para complementar o atendimento da Retenfix Ind. e Com. de Vedações Industriais</x:v>
      </x:c>
      <x:c r="U81" s="43" t="str">
        <x:v>Olá, equipe da Retenfix Ind. e Com. de Vedações Industriais,</x:v>
      </x:c>
      <x:c r="V81" s="43" t="str">
        <x:v>Olá, equipe da Retenfix Ind. e Com. de Vedações Industriais,
Estou entrando em contato porque a atuação da Retenfix Ind. e Com. de Vedações Industriais em vedações tem boa aderência ao tipo de fabricação especial que realizamos na Parts Seals.
Em Jundiaí/SP, cadeias como máquinas, automotivo, alimentos, bebidas e logística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81" s="43" t="str">
        <x:v>Olá, equipe da Retenfix Ind. e Com. de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81" s="43" t="str">
        <x:v>Olá, equipe da Retenfix Ind. e Com. de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81" s="43" t="str">
        <x:v>Vocês recebem consultas de peças especiais que acabam sem atendimento por prazo, material, quantidade ou ausência de desenho?</x:v>
      </x:c>
      <x:c r="Z81" s="43" t="str">
        <x:v>Este contato foi direcionado a um canal corporativo público por possível aderência entre as atividades das empresas. Para não receber novas mensagens da Parts Seals, responda com REMOVER.</x:v>
      </x:c>
      <x:c r="AA81" s="43" t="str">
        <x:v>Aguardando aprovação</x:v>
      </x:c>
      <x:c r="AB81" s="43" t="str">
        <x:v>Não</x:v>
      </x:c>
      <x:c r="AC81" s="44"/>
      <x:c r="AD81" s="44"/>
      <x:c r="AE81" s="44"/>
      <x:c r="AF81" s="44"/>
      <x:c r="AG81" s="43"/>
      <x:c r="AH81" s="43"/>
      <x:c r="AI81" s="43" t="str">
        <x:v>Não</x:v>
      </x:c>
      <x:c r="AJ81" s="43"/>
      <x:c r="AK81" s="43"/>
      <x:c r="AL81" s="43" t="str">
        <x:v>https://perfildaindustria.portaldaindustria.com.br/estado/tudo/sp</x:v>
      </x:c>
      <x:c r="AM81" s="43" t="str">
        <x:v>https://retenfix.com.br/contato/</x:v>
      </x:c>
      <x:c r="AN81" s="43" t="str">
        <x:v>Pesquise a empresa Retenfix Ind. e Com. de Vedações Industriais, de Jundiaí/SP,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81" s="43" t="str">
        <x:v>2026-07-24 v1</x:v>
      </x:c>
    </x:row>
    <x:row r="82" ht="72" customHeight="1">
      <x:c r="A82" s="43" t="n">
        <x:v>81</x:v>
      </x:c>
      <x:c r="B82" s="43" t="str">
        <x:v>Retentive Accessories</x:v>
      </x:c>
      <x:c r="C82" s="43" t="str">
        <x:v>Vedações</x:v>
      </x:c>
      <x:c r="D82" s="43" t="str">
        <x:v>Jundiaí</x:v>
      </x:c>
      <x:c r="E82" s="43" t="str">
        <x:v>SP</x:v>
      </x:c>
      <x:c r="F82" s="43" t="str">
        <x:v>Sudeste</x:v>
      </x:c>
      <x:c r="G82" s="43" t="str">
        <x:v>A - Alta</x:v>
      </x:c>
      <x:c r="H82" s="43" t="str">
        <x:v>Não contatado</x:v>
      </x:c>
      <x:c r="I82" s="43" t="str">
        <x:v>vendas@retentive.com.br</x:v>
      </x:c>
      <x:c r="J82" s="43" t="str">
        <x:v>https://www.retentive.com.br/contato.htm</x:v>
      </x:c>
      <x:c r="K82" s="43" t="str">
        <x:v>Sim</x:v>
      </x:c>
      <x:c r="L82" s="43" t="str">
        <x:v>especialista ou revenda de vedações industriais</x:v>
      </x:c>
      <x:c r="M82" s="43" t="str">
        <x:v>máquinas, automotivo, alimentos, bebidas e logística industrial</x:v>
      </x:c>
      <x:c r="N82" s="43" t="str">
        <x:v>gaxetas, raspadores, anéis guia, vedações de haste e pistão, retentores especiais e reposições fora de linha</x:v>
      </x:c>
      <x:c r="O82" s="43" t="str">
        <x:v>peças sob medida em PTFE puro ou carregado, poliuretano, NBR, FKM, nylon e outros materiais técnicos</x:v>
      </x:c>
      <x:c r="P82" s="43" t="str">
        <x:v>complementar o portfólio com itens especiais, pequenas e médias séries, urgências e fabricação por desenho ou amostra</x:v>
      </x:c>
      <x:c r="Q82" s="43" t="str">
        <x:v>Segmento da base: Vedações; localização: Jundiaí/SP; contexto industrial regional usado apenas como hipótese comercial. Domínio do e-mail coincide com a fonte oficial. Nenhuma afirmação sobre clientes ou aplicações específicas da empresa foi feita sem fonte.</x:v>
      </x:c>
      <x:c r="R82" s="43" t="str">
        <x:v>Alta</x:v>
      </x:c>
      <x:c r="S82" s="43" t="str">
        <x:v>Recomendada</x:v>
      </x:c>
      <x:c r="T82" s="43" t="str">
        <x:v>Possível parceria técnica — Retentive Accessories e Parts Seals</x:v>
      </x:c>
      <x:c r="U82" s="43" t="str">
        <x:v>Olá, equipe da Retentive Accessories,</x:v>
      </x:c>
      <x:c r="V82" s="43" t="str">
        <x:v>Olá, equipe da Retentive Accessories,
Ao analisar o perfil da Retentive Accessories em Jundiaí, identifiquei uma possibilidade de parceria para demandas de vedação que não se encaixam bem em linhas padronizadas.
Em Jundiaí/SP, cadeias como máquinas, automotivo, alimentos, bebidas e logística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82" s="43" t="str">
        <x:v>Olá, equipe da Retentive Accessories,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82" s="43" t="str">
        <x:v>Olá, equipe da Retentive Accessories,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82" s="43" t="str">
        <x:v>Vocês recebem consultas de peças especiais que acabam sem atendimento por prazo, material, quantidade ou ausência de desenho?</x:v>
      </x:c>
      <x:c r="Z82" s="43" t="str">
        <x:v>Este contato foi direcionado a um canal corporativo público por possível aderência entre as atividades das empresas. Para não receber novas mensagens da Parts Seals, responda com REMOVER.</x:v>
      </x:c>
      <x:c r="AA82" s="43" t="str">
        <x:v>Aguardando aprovação</x:v>
      </x:c>
      <x:c r="AB82" s="43" t="str">
        <x:v>Não</x:v>
      </x:c>
      <x:c r="AC82" s="44"/>
      <x:c r="AD82" s="44"/>
      <x:c r="AE82" s="44"/>
      <x:c r="AF82" s="44"/>
      <x:c r="AG82" s="43"/>
      <x:c r="AH82" s="43"/>
      <x:c r="AI82" s="43" t="str">
        <x:v>Não</x:v>
      </x:c>
      <x:c r="AJ82" s="43"/>
      <x:c r="AK82" s="43"/>
      <x:c r="AL82" s="43" t="str">
        <x:v>https://perfildaindustria.portaldaindustria.com.br/estado/tudo/sp</x:v>
      </x:c>
      <x:c r="AM82" s="43" t="str">
        <x:v>https://www.retentive.com.br/contato.htm</x:v>
      </x:c>
      <x:c r="AN82" s="43" t="str">
        <x:v>Pesquise a empresa Retentive Accessories, de Jundiaí/SP,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82" s="43" t="str">
        <x:v>2026-07-24 v1</x:v>
      </x:c>
    </x:row>
    <x:row r="83" ht="72" customHeight="1">
      <x:c r="A83" s="43" t="n">
        <x:v>82</x:v>
      </x:c>
      <x:c r="B83" s="43" t="str">
        <x:v>Tuli Vedações Industriais</x:v>
      </x:c>
      <x:c r="C83" s="43" t="str">
        <x:v>Fabricante/Vedações</x:v>
      </x:c>
      <x:c r="D83" s="43" t="str">
        <x:v>Jundiaí</x:v>
      </x:c>
      <x:c r="E83" s="43" t="str">
        <x:v>SP</x:v>
      </x:c>
      <x:c r="F83" s="43" t="str">
        <x:v>Sudeste</x:v>
      </x:c>
      <x:c r="G83" s="43" t="str">
        <x:v>B - Média</x:v>
      </x:c>
      <x:c r="H83" s="43" t="str">
        <x:v>Não contatado</x:v>
      </x:c>
      <x:c r="I83" s="43"/>
      <x:c r="J83" s="43" t="str">
        <x:v>Não localizado em fonte pública confiável até 24/07/2026</x:v>
      </x:c>
      <x:c r="K83" s="43" t="str">
        <x:v>Não</x:v>
      </x:c>
      <x:c r="L83" s="43" t="str">
        <x:v>fabricante ou transformador especializado em vedações</x:v>
      </x:c>
      <x:c r="M83" s="43" t="str">
        <x:v>máquinas, automotivo, alimentos, bebidas e logística industrial</x:v>
      </x:c>
      <x:c r="N83" s="43" t="str">
        <x:v>itens fora de padrão, picos de demanda, protótipos, reposições urgentes e lotes que exigem processo ou material específico</x:v>
      </x:c>
      <x:c r="O83" s="43" t="str">
        <x:v>componentes usinados e moldados em PTFE puro ou carregado, PU, NBR, FKM e materiais técnicos, conforme desenho ou amostra</x:v>
      </x:c>
      <x:c r="P83" s="43" t="str">
        <x:v>atuar como apoio produtivo complementar, preservando a relação comercial de vocês com o cliente final</x:v>
      </x:c>
      <x:c r="Q83" s="43" t="str">
        <x:v>Segmento da base: Fabricante/Vedações; localização: Jundiaí/SP; contexto industrial regional usado apenas como hipótese comercial. Sem e-mail público localizado. Nenhuma afirmação sobre clientes ou aplicações específicas da empresa foi feita sem fonte.</x:v>
      </x:c>
      <x:c r="R83" s="43" t="str">
        <x:v>Baixa</x:v>
      </x:c>
      <x:c r="S83" s="43" t="str">
        <x:v>Sim</x:v>
      </x:c>
      <x:c r="T83" s="43" t="str">
        <x:v>Capacidade complementar em vedações — Tuli Vedações Industriais</x:v>
      </x:c>
      <x:c r="U83" s="43" t="str">
        <x:v>Olá, equipe da Tuli Vedações Industriais,</x:v>
      </x:c>
      <x:c r="V83" s="43" t="str">
        <x:v>Olá, equipe da Tuli Vedações Industriais,
A Parts Seals está ampliando parcerias com empresas técnicas do setor, e o perfil da Tuli Vedações Industriais chamou nossa atenção pela atuação em fabricante/vedações.
Em Jundiaí/SP, cadeias como máquinas, automotivo, alimentos, bebidas e logística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83" s="43" t="str">
        <x:v>Olá, equipe da Tuli Vedações Industriais,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83" s="43" t="str">
        <x:v>Olá, equipe da Tuli Vedações Industriais,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83" s="43" t="str">
        <x:v>Existe hoje algum item especial, urgente ou de baixa quantidade que esteja ocupando capacidade ou ficando sem atendimento?</x:v>
      </x:c>
      <x:c r="Z83" s="43" t="str">
        <x:v>Este contato foi direcionado a um canal corporativo público por possível aderência entre as atividades das empresas. Para não receber novas mensagens da Parts Seals, responda com REMOVER.</x:v>
      </x:c>
      <x:c r="AA83" s="43" t="str">
        <x:v>Sem e-mail</x:v>
      </x:c>
      <x:c r="AB83" s="43" t="str">
        <x:v>Não</x:v>
      </x:c>
      <x:c r="AC83" s="44"/>
      <x:c r="AD83" s="44"/>
      <x:c r="AE83" s="44"/>
      <x:c r="AF83" s="44"/>
      <x:c r="AG83" s="43"/>
      <x:c r="AH83" s="43"/>
      <x:c r="AI83" s="43" t="str">
        <x:v>Não</x:v>
      </x:c>
      <x:c r="AJ83" s="43"/>
      <x:c r="AK83" s="43"/>
      <x:c r="AL83" s="43" t="str">
        <x:v>https://perfildaindustria.portaldaindustria.com.br/estado/tudo/sp</x:v>
      </x:c>
      <x:c r="AM83" s="43" t="str">
        <x:v>Não localizado em fonte pública confiável até 24/07/2026</x:v>
      </x:c>
      <x:c r="AN83" s="43" t="str">
        <x:v>Pesquise a empresa Tuli Vedações Industriais, de Jundiaí/SP,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83" s="43" t="str">
        <x:v>2026-07-24 v1</x:v>
      </x:c>
    </x:row>
    <x:row r="84" ht="72" customHeight="1">
      <x:c r="A84" s="43" t="n">
        <x:v>83</x:v>
      </x:c>
      <x:c r="B84" s="43" t="str">
        <x:v>WL Vedações</x:v>
      </x:c>
      <x:c r="C84" s="43" t="str">
        <x:v>Fabricante/Vedações</x:v>
      </x:c>
      <x:c r="D84" s="43" t="str">
        <x:v>Jundiaí</x:v>
      </x:c>
      <x:c r="E84" s="43" t="str">
        <x:v>SP</x:v>
      </x:c>
      <x:c r="F84" s="43" t="str">
        <x:v>Sudeste</x:v>
      </x:c>
      <x:c r="G84" s="43" t="str">
        <x:v>C - Baixa</x:v>
      </x:c>
      <x:c r="H84" s="43" t="str">
        <x:v>Não contatado</x:v>
      </x:c>
      <x:c r="I84" s="43" t="str">
        <x:v>financeiro@wlvedacoes.com.br</x:v>
      </x:c>
      <x:c r="J84" s="43" t="str">
        <x:v>https://cnpjcheck.com.br/empresa/wl-comercio-de-vedacoes-ltda-wl-vedacoes-22045622000250</x:v>
      </x:c>
      <x:c r="K84" s="43" t="str">
        <x:v>Sim</x:v>
      </x:c>
      <x:c r="L84" s="43" t="str">
        <x:v>fabricante ou transformador especializado em vedações</x:v>
      </x:c>
      <x:c r="M84" s="43" t="str">
        <x:v>máquinas, automotivo, alimentos, bebidas e logística industrial</x:v>
      </x:c>
      <x:c r="N84" s="43" t="str">
        <x:v>itens fora de padrão, picos de demanda, protótipos, reposições urgentes e lotes que exigem processo ou material específico</x:v>
      </x:c>
      <x:c r="O84" s="43" t="str">
        <x:v>componentes usinados e moldados em PTFE puro ou carregado, PU, NBR, FKM e materiais técnicos, conforme desenho ou amostra</x:v>
      </x:c>
      <x:c r="P84" s="43" t="str">
        <x:v>atuar como apoio produtivo complementar, preservando a relação comercial de vocês com o cliente final</x:v>
      </x:c>
      <x:c r="Q84" s="43" t="str">
        <x:v>Segmento da base: Fabricante/Vedações; localização: Jundiaí/SP; contexto industrial regional usado apenas como hipótese comercial. Fonte pública associada à empresa. Nenhuma afirmação sobre clientes ou aplicações específicas da empresa foi feita sem fonte.</x:v>
      </x:c>
      <x:c r="R84" s="43" t="str">
        <x:v>Moderada</x:v>
      </x:c>
      <x:c r="S84" s="43" t="str">
        <x:v>Sim</x:v>
      </x:c>
      <x:c r="T84" s="43" t="str">
        <x:v>Itens urgentes ou fora de padrão — WL Vedações</x:v>
      </x:c>
      <x:c r="U84" s="43" t="str">
        <x:v>Olá, equipe da WL Vedações,</x:v>
      </x:c>
      <x:c r="V84" s="43" t="str">
        <x:v>Olá, equipe da WL Vedações,
Gostaria de apresentar uma possibilidade de apoio complementar à WL Vedações para peças especiais, urgências e reposições fora de catálogo.
Em Jundiaí/SP, cadeias como máquinas, automotivo, alimentos, bebidas e logística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84" s="43" t="str">
        <x:v>Olá, equipe da WL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84" s="43" t="str">
        <x:v>Olá, equipe da WL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84" s="43" t="str">
        <x:v>Existe hoje algum item especial, urgente ou de baixa quantidade que esteja ocupando capacidade ou ficando sem atendimento?</x:v>
      </x:c>
      <x:c r="Z84" s="43" t="str">
        <x:v>Este contato foi direcionado a um canal corporativo público por possível aderência entre as atividades das empresas. Para não receber novas mensagens da Parts Seals, responda com REMOVER.</x:v>
      </x:c>
      <x:c r="AA84" s="43" t="str">
        <x:v>Aguardando aprovação</x:v>
      </x:c>
      <x:c r="AB84" s="43" t="str">
        <x:v>Não</x:v>
      </x:c>
      <x:c r="AC84" s="44"/>
      <x:c r="AD84" s="44"/>
      <x:c r="AE84" s="44"/>
      <x:c r="AF84" s="44"/>
      <x:c r="AG84" s="43"/>
      <x:c r="AH84" s="43"/>
      <x:c r="AI84" s="43" t="str">
        <x:v>Não</x:v>
      </x:c>
      <x:c r="AJ84" s="43"/>
      <x:c r="AK84" s="43"/>
      <x:c r="AL84" s="43" t="str">
        <x:v>https://perfildaindustria.portaldaindustria.com.br/estado/tudo/sp</x:v>
      </x:c>
      <x:c r="AM84" s="43" t="str">
        <x:v>https://cnpjcheck.com.br/empresa/wl-comercio-de-vedacoes-ltda-wl-vedacoes-22045622000250</x:v>
      </x:c>
      <x:c r="AN84" s="43" t="str">
        <x:v>Pesquise a empresa WL Vedações, de Jundiaí/SP,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84" s="43" t="str">
        <x:v>2026-07-24 v1</x:v>
      </x:c>
    </x:row>
    <x:row r="85" ht="72" customHeight="1">
      <x:c r="A85" s="43" t="n">
        <x:v>84</x:v>
      </x:c>
      <x:c r="B85" s="43" t="str">
        <x:v>WL Vedações Industriais</x:v>
      </x:c>
      <x:c r="C85" s="43" t="str">
        <x:v>Vedações</x:v>
      </x:c>
      <x:c r="D85" s="43" t="str">
        <x:v>Jundiaí</x:v>
      </x:c>
      <x:c r="E85" s="43" t="str">
        <x:v>SP</x:v>
      </x:c>
      <x:c r="F85" s="43" t="str">
        <x:v>Sudeste</x:v>
      </x:c>
      <x:c r="G85" s="43" t="str">
        <x:v>Sem dados - qualificar</x:v>
      </x:c>
      <x:c r="H85" s="43" t="str">
        <x:v>Não contatado</x:v>
      </x:c>
      <x:c r="I85" s="43"/>
      <x:c r="J85" s="43" t="str">
        <x:v>Não localizado em fonte pública confiável até 24/07/2026</x:v>
      </x:c>
      <x:c r="K85" s="43" t="str">
        <x:v>Não</x:v>
      </x:c>
      <x:c r="L85" s="43" t="str">
        <x:v>especialista ou revenda de vedações industriais</x:v>
      </x:c>
      <x:c r="M85" s="43" t="str">
        <x:v>máquinas, automotivo, alimentos, bebidas e logística industrial</x:v>
      </x:c>
      <x:c r="N85" s="43" t="str">
        <x:v>gaxetas, raspadores, anéis guia, vedações de haste e pistão, retentores especiais e reposições fora de linha</x:v>
      </x:c>
      <x:c r="O85" s="43" t="str">
        <x:v>peças sob medida em PTFE puro ou carregado, poliuretano, NBR, FKM, nylon e outros materiais técnicos</x:v>
      </x:c>
      <x:c r="P85" s="43" t="str">
        <x:v>complementar o portfólio com itens especiais, pequenas e médias séries, urgências e fabricação por desenho ou amostra</x:v>
      </x:c>
      <x:c r="Q85" s="43" t="str">
        <x:v>Segmento da base: Vedações; localização: Jundiaí/SP; contexto industrial regional usado apenas como hipótese comercial. Sem e-mail público localizado. Nenhuma afirmação sobre clientes ou aplicações específicas da empresa foi feita sem fonte.</x:v>
      </x:c>
      <x:c r="R85" s="43" t="str">
        <x:v>Baixa</x:v>
      </x:c>
      <x:c r="S85" s="43" t="str">
        <x:v>Sim</x:v>
      </x:c>
      <x:c r="T85" s="43" t="str">
        <x:v>Peças especiais para complementar o atendimento da WL Vedações Industriais</x:v>
      </x:c>
      <x:c r="U85" s="43" t="str">
        <x:v>Olá, equipe da WL Vedações Industriais,</x:v>
      </x:c>
      <x:c r="V85" s="43" t="str">
        <x:v>Olá, equipe da WL Vedações Industriais,
Estou entrando em contato porque a atuação da WL Vedações Industriais em vedações tem boa aderência ao tipo de fabricação especial que realizamos na Parts Seals.
Em Jundiaí/SP, cadeias como máquinas, automotivo, alimentos, bebidas e logística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85" s="43" t="str">
        <x:v>Olá, equipe da WL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85" s="43" t="str">
        <x:v>Olá, equipe da WL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85" s="43" t="str">
        <x:v>Vocês recebem consultas de peças especiais que acabam sem atendimento por prazo, material, quantidade ou ausência de desenho?</x:v>
      </x:c>
      <x:c r="Z85" s="43" t="str">
        <x:v>Este contato foi direcionado a um canal corporativo público por possível aderência entre as atividades das empresas. Para não receber novas mensagens da Parts Seals, responda com REMOVER.</x:v>
      </x:c>
      <x:c r="AA85" s="43" t="str">
        <x:v>Sem e-mail</x:v>
      </x:c>
      <x:c r="AB85" s="43" t="str">
        <x:v>Não</x:v>
      </x:c>
      <x:c r="AC85" s="44"/>
      <x:c r="AD85" s="44"/>
      <x:c r="AE85" s="44"/>
      <x:c r="AF85" s="44"/>
      <x:c r="AG85" s="43"/>
      <x:c r="AH85" s="43"/>
      <x:c r="AI85" s="43" t="str">
        <x:v>Não</x:v>
      </x:c>
      <x:c r="AJ85" s="43"/>
      <x:c r="AK85" s="43"/>
      <x:c r="AL85" s="43" t="str">
        <x:v>https://perfildaindustria.portaldaindustria.com.br/estado/tudo/sp</x:v>
      </x:c>
      <x:c r="AM85" s="43" t="str">
        <x:v>Não localizado em fonte pública confiável até 24/07/2026</x:v>
      </x:c>
      <x:c r="AN85" s="43" t="str">
        <x:v>Pesquise a empresa WL Vedações Industriais, de Jundiaí/SP,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85" s="43" t="str">
        <x:v>2026-07-24 v1</x:v>
      </x:c>
    </x:row>
    <x:row r="86" ht="72" customHeight="1">
      <x:c r="A86" s="43" t="n">
        <x:v>85</x:v>
      </x:c>
      <x:c r="B86" s="43" t="str">
        <x:v>AM Vedações</x:v>
      </x:c>
      <x:c r="C86" s="43" t="str">
        <x:v>Fabricante/Vedações</x:v>
      </x:c>
      <x:c r="D86" s="43" t="str">
        <x:v>Limeira</x:v>
      </x:c>
      <x:c r="E86" s="43" t="str">
        <x:v>SP</x:v>
      </x:c>
      <x:c r="F86" s="43" t="str">
        <x:v>Sudeste</x:v>
      </x:c>
      <x:c r="G86" s="43" t="str">
        <x:v>C - Baixa</x:v>
      </x:c>
      <x:c r="H86" s="43" t="str">
        <x:v>Não contatado</x:v>
      </x:c>
      <x:c r="I86" s="43" t="str">
        <x:v>vendas@amvedacoes.com.br</x:v>
      </x:c>
      <x:c r="J86" s="43" t="str">
        <x:v>https://www.instagram.com/amvedacoes/</x:v>
      </x:c>
      <x:c r="K86" s="43" t="str">
        <x:v>Sim</x:v>
      </x:c>
      <x:c r="L86" s="43" t="str">
        <x:v>fabricante ou transformador especializado em vedações</x:v>
      </x:c>
      <x:c r="M86" s="43" t="str">
        <x:v>máquinas, automotivo, químico, alimentos e manutenção industrial</x:v>
      </x:c>
      <x:c r="N86" s="43" t="str">
        <x:v>itens fora de padrão, picos de demanda, protótipos, reposições urgentes e lotes que exigem processo ou material específico</x:v>
      </x:c>
      <x:c r="O86" s="43" t="str">
        <x:v>componentes usinados e moldados em PTFE puro ou carregado, PU, NBR, FKM e materiais técnicos, conforme desenho ou amostra</x:v>
      </x:c>
      <x:c r="P86" s="43" t="str">
        <x:v>atuar como apoio produtivo complementar, preservando a relação comercial de vocês com o cliente final</x:v>
      </x:c>
      <x:c r="Q86" s="43" t="str">
        <x:v>Segmento da base: Fabricante/Vedações; localização: Limeira/SP; contexto industrial regional usado apenas como hipótese comercial. Contato publicado em perfil ou diretório institucional. Nenhuma afirmação sobre clientes ou aplicações específicas da empresa foi feita sem fonte.</x:v>
      </x:c>
      <x:c r="R86" s="43" t="str">
        <x:v>Moderada</x:v>
      </x:c>
      <x:c r="S86" s="43" t="str">
        <x:v>Sim</x:v>
      </x:c>
      <x:c r="T86" s="43" t="str">
        <x:v>Parceria para picos de demanda e peças especiais</x:v>
      </x:c>
      <x:c r="U86" s="43" t="str">
        <x:v>Olá, equipe da AM Vedações,</x:v>
      </x:c>
      <x:c r="V86" s="43" t="str">
        <x:v>Olá, equipe da AM Vedações,
Ao analisar o perfil da AM Vedações em Limeira, identifiquei uma possibilidade de parceria para demandas de vedação que não se encaixam bem em linhas padronizadas.
Em Limeira/SP, cadeias como máquinas, automotivo, químico, alimentos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86" s="43" t="str">
        <x:v>Olá, equipe da AM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86" s="43" t="str">
        <x:v>Olá, equipe da AM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86" s="43" t="str">
        <x:v>Existe hoje algum item especial, urgente ou de baixa quantidade que esteja ocupando capacidade ou ficando sem atendimento?</x:v>
      </x:c>
      <x:c r="Z86" s="43" t="str">
        <x:v>Este contato foi direcionado a um canal corporativo público por possível aderência entre as atividades das empresas. Para não receber novas mensagens da Parts Seals, responda com REMOVER.</x:v>
      </x:c>
      <x:c r="AA86" s="43" t="str">
        <x:v>Aguardando aprovação</x:v>
      </x:c>
      <x:c r="AB86" s="43" t="str">
        <x:v>Não</x:v>
      </x:c>
      <x:c r="AC86" s="44"/>
      <x:c r="AD86" s="44"/>
      <x:c r="AE86" s="44"/>
      <x:c r="AF86" s="44"/>
      <x:c r="AG86" s="43"/>
      <x:c r="AH86" s="43"/>
      <x:c r="AI86" s="43" t="str">
        <x:v>Não</x:v>
      </x:c>
      <x:c r="AJ86" s="43"/>
      <x:c r="AK86" s="43"/>
      <x:c r="AL86" s="43" t="str">
        <x:v>https://perfildaindustria.portaldaindustria.com.br/estado/tudo/sp</x:v>
      </x:c>
      <x:c r="AM86" s="43" t="str">
        <x:v>https://www.instagram.com/amvedacoes/</x:v>
      </x:c>
      <x:c r="AN86" s="43" t="str">
        <x:v>Pesquise a empresa AM Vedações, de Limeira/SP,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86" s="43" t="str">
        <x:v>2026-07-24 v1</x:v>
      </x:c>
    </x:row>
    <x:row r="87" ht="72" customHeight="1">
      <x:c r="A87" s="43" t="n">
        <x:v>86</x:v>
      </x:c>
      <x:c r="B87" s="43" t="str">
        <x:v>Brasveda Comércio de Acessórios Industriais e Vedações</x:v>
      </x:c>
      <x:c r="C87" s="43" t="str">
        <x:v>Vedações</x:v>
      </x:c>
      <x:c r="D87" s="43" t="str">
        <x:v>Limeira</x:v>
      </x:c>
      <x:c r="E87" s="43" t="str">
        <x:v>SP</x:v>
      </x:c>
      <x:c r="F87" s="43" t="str">
        <x:v>Sudeste</x:v>
      </x:c>
      <x:c r="G87" s="43" t="str">
        <x:v>A - Alta</x:v>
      </x:c>
      <x:c r="H87" s="43" t="str">
        <x:v>Não contatado</x:v>
      </x:c>
      <x:c r="I87" s="43" t="str">
        <x:v>loja@brasveda.com.br</x:v>
      </x:c>
      <x:c r="J87" s="43" t="str">
        <x:v>https://loja.brasveda.com.br/contato</x:v>
      </x:c>
      <x:c r="K87" s="43" t="str">
        <x:v>Sim</x:v>
      </x:c>
      <x:c r="L87" s="43" t="str">
        <x:v>especialista ou revenda de vedações industriais</x:v>
      </x:c>
      <x:c r="M87" s="43" t="str">
        <x:v>máquinas, automotivo, químico, alimentos e manutenção industrial</x:v>
      </x:c>
      <x:c r="N87" s="43" t="str">
        <x:v>gaxetas, raspadores, anéis guia, vedações de haste e pistão, retentores especiais e reposições fora de linha</x:v>
      </x:c>
      <x:c r="O87" s="43" t="str">
        <x:v>peças sob medida em PTFE puro ou carregado, poliuretano, NBR, FKM, nylon e outros materiais técnicos</x:v>
      </x:c>
      <x:c r="P87" s="43" t="str">
        <x:v>complementar o portfólio com itens especiais, pequenas e médias séries, urgências e fabricação por desenho ou amostra</x:v>
      </x:c>
      <x:c r="Q87" s="43" t="str">
        <x:v>Segmento da base: Vedações; localização: Limeira/SP; contexto industrial regional usado apenas como hipótese comercial. Domínio do e-mail coincide com a fonte oficial. Nenhuma afirmação sobre clientes ou aplicações específicas da empresa foi feita sem fonte.</x:v>
      </x:c>
      <x:c r="R87" s="43" t="str">
        <x:v>Alta</x:v>
      </x:c>
      <x:c r="S87" s="43" t="str">
        <x:v>Recomendada</x:v>
      </x:c>
      <x:c r="T87" s="43" t="str">
        <x:v>Apoio em vedações sob medida para a Brasveda Comércio de Acessórios Industriais e Vedações</x:v>
      </x:c>
      <x:c r="U87" s="43" t="str">
        <x:v>Olá, equipe da Brasveda Comércio de Acessórios Industriais e Vedações,</x:v>
      </x:c>
      <x:c r="V87" s="43" t="str">
        <x:v>Olá, equipe da Brasveda Comércio de Acessórios Industriais e Vedações,
A Parts Seals está ampliando parcerias com empresas técnicas do setor, e o perfil da Brasveda Comércio de Acessórios Industriais e Vedações chamou nossa atenção pela atuação em vedações.
Em Limeira/SP,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87" s="43" t="str">
        <x:v>Olá, equipe da Brasveda Comércio de Acessórios Industriais e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87" s="43" t="str">
        <x:v>Olá, equipe da Brasveda Comércio de Acessórios Industriais e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87" s="43" t="str">
        <x:v>Vocês recebem consultas de peças especiais que acabam sem atendimento por prazo, material, quantidade ou ausência de desenho?</x:v>
      </x:c>
      <x:c r="Z87" s="43" t="str">
        <x:v>Este contato foi direcionado a um canal corporativo público por possível aderência entre as atividades das empresas. Para não receber novas mensagens da Parts Seals, responda com REMOVER.</x:v>
      </x:c>
      <x:c r="AA87" s="43" t="str">
        <x:v>Aguardando aprovação</x:v>
      </x:c>
      <x:c r="AB87" s="43" t="str">
        <x:v>Não</x:v>
      </x:c>
      <x:c r="AC87" s="44"/>
      <x:c r="AD87" s="44"/>
      <x:c r="AE87" s="44"/>
      <x:c r="AF87" s="44"/>
      <x:c r="AG87" s="43"/>
      <x:c r="AH87" s="43"/>
      <x:c r="AI87" s="43" t="str">
        <x:v>Não</x:v>
      </x:c>
      <x:c r="AJ87" s="43"/>
      <x:c r="AK87" s="43"/>
      <x:c r="AL87" s="43" t="str">
        <x:v>https://perfildaindustria.portaldaindustria.com.br/estado/tudo/sp</x:v>
      </x:c>
      <x:c r="AM87" s="43" t="str">
        <x:v>https://loja.brasveda.com.br/contato</x:v>
      </x:c>
      <x:c r="AN87" s="43" t="str">
        <x:v>Pesquise a empresa Brasveda Comércio de Acessórios Industriais e Vedações, de Limeira/SP,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87" s="43" t="str">
        <x:v>2026-07-24 v1</x:v>
      </x:c>
    </x:row>
    <x:row r="88" ht="72" customHeight="1">
      <x:c r="A88" s="43" t="n">
        <x:v>87</x:v>
      </x:c>
      <x:c r="B88" s="43" t="str">
        <x:v>Real Vedações</x:v>
      </x:c>
      <x:c r="C88" s="43" t="str">
        <x:v>Fabricante/Vedações</x:v>
      </x:c>
      <x:c r="D88" s="43" t="str">
        <x:v>Limeira</x:v>
      </x:c>
      <x:c r="E88" s="43" t="str">
        <x:v>SP</x:v>
      </x:c>
      <x:c r="F88" s="43" t="str">
        <x:v>Sudeste</x:v>
      </x:c>
      <x:c r="G88" s="43" t="str">
        <x:v>B - Média</x:v>
      </x:c>
      <x:c r="H88" s="43" t="str">
        <x:v>Não contatado</x:v>
      </x:c>
      <x:c r="I88" s="43" t="str">
        <x:v>real@realvedacoes.com.br</x:v>
      </x:c>
      <x:c r="J88" s="43" t="str">
        <x:v>https://www.realvedacoes.com.br/contato</x:v>
      </x:c>
      <x:c r="K88" s="43" t="str">
        <x:v>Sim</x:v>
      </x:c>
      <x:c r="L88" s="43" t="str">
        <x:v>fabricante ou transformador especializado em vedações</x:v>
      </x:c>
      <x:c r="M88" s="43" t="str">
        <x:v>máquinas, automotivo, químico, alimentos e manutenção industrial</x:v>
      </x:c>
      <x:c r="N88" s="43" t="str">
        <x:v>itens fora de padrão, picos de demanda, protótipos, reposições urgentes e lotes que exigem processo ou material específico</x:v>
      </x:c>
      <x:c r="O88" s="43" t="str">
        <x:v>componentes usinados e moldados em PTFE puro ou carregado, PU, NBR, FKM e materiais técnicos, conforme desenho ou amostra</x:v>
      </x:c>
      <x:c r="P88" s="43" t="str">
        <x:v>atuar como apoio produtivo complementar, preservando a relação comercial de vocês com o cliente final</x:v>
      </x:c>
      <x:c r="Q88" s="43" t="str">
        <x:v>Segmento da base: Fabricante/Vedações; localização: Limeira/SP; contexto industrial regional usado apenas como hipótese comercial. Domínio do e-mail coincide com a fonte oficial. Nenhuma afirmação sobre clientes ou aplicações específicas da empresa foi feita sem fonte.</x:v>
      </x:c>
      <x:c r="R88" s="43" t="str">
        <x:v>Alta</x:v>
      </x:c>
      <x:c r="S88" s="43" t="str">
        <x:v>Recomendada</x:v>
      </x:c>
      <x:c r="T88" s="43" t="str">
        <x:v>Itens urgentes ou fora de padrão — Real Vedações</x:v>
      </x:c>
      <x:c r="U88" s="43" t="str">
        <x:v>Olá, equipe da Real Vedações,</x:v>
      </x:c>
      <x:c r="V88" s="43" t="str">
        <x:v>Olá, equipe da Real Vedações,
Gostaria de apresentar uma possibilidade de apoio complementar à Real Vedações para peças especiais, urgências e reposições fora de catálogo.
Em Limeira/SP, cadeias como máquinas, automotivo, químico, alimentos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88" s="43" t="str">
        <x:v>Olá, equipe da Real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88" s="43" t="str">
        <x:v>Olá, equipe da Real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88" s="43" t="str">
        <x:v>Existe hoje algum item especial, urgente ou de baixa quantidade que esteja ocupando capacidade ou ficando sem atendimento?</x:v>
      </x:c>
      <x:c r="Z88" s="43" t="str">
        <x:v>Este contato foi direcionado a um canal corporativo público por possível aderência entre as atividades das empresas. Para não receber novas mensagens da Parts Seals, responda com REMOVER.</x:v>
      </x:c>
      <x:c r="AA88" s="43" t="str">
        <x:v>Aguardando aprovação</x:v>
      </x:c>
      <x:c r="AB88" s="43" t="str">
        <x:v>Não</x:v>
      </x:c>
      <x:c r="AC88" s="44"/>
      <x:c r="AD88" s="44"/>
      <x:c r="AE88" s="44"/>
      <x:c r="AF88" s="44"/>
      <x:c r="AG88" s="43"/>
      <x:c r="AH88" s="43"/>
      <x:c r="AI88" s="43" t="str">
        <x:v>Não</x:v>
      </x:c>
      <x:c r="AJ88" s="43"/>
      <x:c r="AK88" s="43"/>
      <x:c r="AL88" s="43" t="str">
        <x:v>https://perfildaindustria.portaldaindustria.com.br/estado/tudo/sp</x:v>
      </x:c>
      <x:c r="AM88" s="43" t="str">
        <x:v>https://www.realvedacoes.com.br/contato</x:v>
      </x:c>
      <x:c r="AN88" s="43" t="str">
        <x:v>Pesquise a empresa Real Vedações, de Limeira/SP,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88" s="43" t="str">
        <x:v>2026-07-24 v1</x:v>
      </x:c>
    </x:row>
    <x:row r="89" ht="72" customHeight="1">
      <x:c r="A89" s="43" t="n">
        <x:v>88</x:v>
      </x:c>
      <x:c r="B89" s="43" t="str">
        <x:v>Vedamar Vedação e Fixação</x:v>
      </x:c>
      <x:c r="C89" s="43" t="str">
        <x:v>Vedações</x:v>
      </x:c>
      <x:c r="D89" s="43" t="str">
        <x:v>Marília</x:v>
      </x:c>
      <x:c r="E89" s="43" t="str">
        <x:v>SP</x:v>
      </x:c>
      <x:c r="F89" s="43" t="str">
        <x:v>Sudeste</x:v>
      </x:c>
      <x:c r="G89" s="43" t="str">
        <x:v>A - Alta</x:v>
      </x:c>
      <x:c r="H89" s="43" t="str">
        <x:v>Não contatado</x:v>
      </x:c>
      <x:c r="I89" s="43" t="str">
        <x:v>vedamar@vedamar.com.br</x:v>
      </x:c>
      <x:c r="J89" s="43" t="str">
        <x:v>https://www.vedamar.com.br/</x:v>
      </x:c>
      <x:c r="K89" s="43" t="str">
        <x:v>Sim</x:v>
      </x:c>
      <x:c r="L89" s="43" t="str">
        <x:v>especialista ou revenda de vedações industriais</x:v>
      </x:c>
      <x:c r="M89" s="43" t="str">
        <x:v>máquinas, automotivo, químico, alimentos e manutenção industrial</x:v>
      </x:c>
      <x:c r="N89" s="43" t="str">
        <x:v>gaxetas, raspadores, anéis guia, vedações de haste e pistão, retentores especiais e reposições fora de linha</x:v>
      </x:c>
      <x:c r="O89" s="43" t="str">
        <x:v>peças sob medida em PTFE puro ou carregado, poliuretano, NBR, FKM, nylon e outros materiais técnicos</x:v>
      </x:c>
      <x:c r="P89" s="43" t="str">
        <x:v>complementar o portfólio com itens especiais, pequenas e médias séries, urgências e fabricação por desenho ou amostra</x:v>
      </x:c>
      <x:c r="Q89" s="43" t="str">
        <x:v>Segmento da base: Vedações; localização: Marília/SP; contexto industrial regional usado apenas como hipótese comercial. Domínio do e-mail coincide com a fonte oficial. Nenhuma afirmação sobre clientes ou aplicações específicas da empresa foi feita sem fonte.</x:v>
      </x:c>
      <x:c r="R89" s="43" t="str">
        <x:v>Alta</x:v>
      </x:c>
      <x:c r="S89" s="43" t="str">
        <x:v>Recomendada</x:v>
      </x:c>
      <x:c r="T89" s="43" t="str">
        <x:v>Peças especiais para complementar o atendimento da Vedamar Vedação e Fixação</x:v>
      </x:c>
      <x:c r="U89" s="43" t="str">
        <x:v>Olá, equipe da Vedamar Vedação e Fixação,</x:v>
      </x:c>
      <x:c r="V89" s="43" t="str">
        <x:v>Olá, equipe da Vedamar Vedação e Fixação,
Estou entrando em contato porque a atuação da Vedamar Vedação e Fixação em vedações tem boa aderência ao tipo de fabricação especial que realizamos na Parts Seals.
Em Marília/SP,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89" s="43" t="str">
        <x:v>Olá, equipe da Vedamar Vedação e Fixação,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89" s="43" t="str">
        <x:v>Olá, equipe da Vedamar Vedação e Fixação,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89" s="43" t="str">
        <x:v>Vocês recebem consultas de peças especiais que acabam sem atendimento por prazo, material, quantidade ou ausência de desenho?</x:v>
      </x:c>
      <x:c r="Z89" s="43" t="str">
        <x:v>Este contato foi direcionado a um canal corporativo público por possível aderência entre as atividades das empresas. Para não receber novas mensagens da Parts Seals, responda com REMOVER.</x:v>
      </x:c>
      <x:c r="AA89" s="43" t="str">
        <x:v>Aguardando aprovação</x:v>
      </x:c>
      <x:c r="AB89" s="43" t="str">
        <x:v>Não</x:v>
      </x:c>
      <x:c r="AC89" s="44"/>
      <x:c r="AD89" s="44"/>
      <x:c r="AE89" s="44"/>
      <x:c r="AF89" s="44"/>
      <x:c r="AG89" s="43"/>
      <x:c r="AH89" s="43"/>
      <x:c r="AI89" s="43" t="str">
        <x:v>Não</x:v>
      </x:c>
      <x:c r="AJ89" s="43"/>
      <x:c r="AK89" s="43"/>
      <x:c r="AL89" s="43" t="str">
        <x:v>https://perfildaindustria.portaldaindustria.com.br/estado/tudo/sp</x:v>
      </x:c>
      <x:c r="AM89" s="43" t="str">
        <x:v>https://www.vedamar.com.br/</x:v>
      </x:c>
      <x:c r="AN89" s="43" t="str">
        <x:v>Pesquise a empresa Vedamar Vedação e Fixação, de Marília/SP,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89" s="43" t="str">
        <x:v>2026-07-24 v1</x:v>
      </x:c>
    </x:row>
    <x:row r="90" ht="72" customHeight="1">
      <x:c r="A90" s="43" t="n">
        <x:v>89</x:v>
      </x:c>
      <x:c r="B90" s="43" t="str">
        <x:v>Fatruwal Vedações Industriais em Borracha</x:v>
      </x:c>
      <x:c r="C90" s="43" t="str">
        <x:v>Fabricante/Vedações</x:v>
      </x:c>
      <x:c r="D90" s="43" t="str">
        <x:v>Mauá</x:v>
      </x:c>
      <x:c r="E90" s="43" t="str">
        <x:v>SP</x:v>
      </x:c>
      <x:c r="F90" s="43" t="str">
        <x:v>Sudeste</x:v>
      </x:c>
      <x:c r="G90" s="43" t="str">
        <x:v>B - Média</x:v>
      </x:c>
      <x:c r="H90" s="43" t="str">
        <x:v>Não contatado</x:v>
      </x:c>
      <x:c r="I90" s="43" t="str">
        <x:v>contato@fatruwal.com.br</x:v>
      </x:c>
      <x:c r="J90" s="43" t="str">
        <x:v>https://fatruwal.com.br/contato/</x:v>
      </x:c>
      <x:c r="K90" s="43" t="str">
        <x:v>Sim</x:v>
      </x:c>
      <x:c r="L90" s="43" t="str">
        <x:v>fabricante ou transformador especializado em vedações</x:v>
      </x:c>
      <x:c r="M90" s="43" t="str">
        <x:v>petroquímica, químico, metalmecânico e manutenção industrial</x:v>
      </x:c>
      <x:c r="N90" s="43" t="str">
        <x:v>itens fora de padrão, picos de demanda, protótipos, reposições urgentes e lotes que exigem processo ou material específico</x:v>
      </x:c>
      <x:c r="O90" s="43" t="str">
        <x:v>componentes usinados e moldados em PTFE puro ou carregado, PU, NBR, FKM e materiais técnicos, conforme desenho ou amostra</x:v>
      </x:c>
      <x:c r="P90" s="43" t="str">
        <x:v>atuar como apoio produtivo complementar, preservando a relação comercial de vocês com o cliente final</x:v>
      </x:c>
      <x:c r="Q90" s="43" t="str">
        <x:v>Segmento da base: Fabricante/Vedações; localização: Mauá/SP; contexto industrial regional usado apenas como hipótese comercial. Domínio do e-mail coincide com a fonte oficial. Nenhuma afirmação sobre clientes ou aplicações específicas da empresa foi feita sem fonte.</x:v>
      </x:c>
      <x:c r="R90" s="43" t="str">
        <x:v>Alta</x:v>
      </x:c>
      <x:c r="S90" s="43" t="str">
        <x:v>Recomendada</x:v>
      </x:c>
      <x:c r="T90" s="43" t="str">
        <x:v>Parceria para picos de demanda e peças especiais</x:v>
      </x:c>
      <x:c r="U90" s="43" t="str">
        <x:v>Olá, equipe da Fatruwal Vedações Industriais em Borracha,</x:v>
      </x:c>
      <x:c r="V90" s="43" t="str">
        <x:v>Olá, equipe da Fatruwal Vedações Industriais em Borracha,
Ao analisar o perfil da Fatruwal Vedações Industriais em Borracha em Mauá, identifiquei uma possibilidade de parceria para demandas de vedação que não se encaixam bem em linhas padronizadas.
Em Mauá/SP, cadeias como petroquímica, químico, metalmecânico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PTFE, FKM, NBR e PU.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90" s="43" t="str">
        <x:v>Olá, equipe da Fatruwal Vedações Industriais em Borracha,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90" s="43" t="str">
        <x:v>Olá, equipe da Fatruwal Vedações Industriais em Borracha,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90" s="43" t="str">
        <x:v>Existe hoje algum item especial, urgente ou de baixa quantidade que esteja ocupando capacidade ou ficando sem atendimento?</x:v>
      </x:c>
      <x:c r="Z90" s="43" t="str">
        <x:v>Este contato foi direcionado a um canal corporativo público por possível aderência entre as atividades das empresas. Para não receber novas mensagens da Parts Seals, responda com REMOVER.</x:v>
      </x:c>
      <x:c r="AA90" s="43" t="str">
        <x:v>Aguardando aprovação</x:v>
      </x:c>
      <x:c r="AB90" s="43" t="str">
        <x:v>Não</x:v>
      </x:c>
      <x:c r="AC90" s="44"/>
      <x:c r="AD90" s="44"/>
      <x:c r="AE90" s="44"/>
      <x:c r="AF90" s="44"/>
      <x:c r="AG90" s="43"/>
      <x:c r="AH90" s="43"/>
      <x:c r="AI90" s="43" t="str">
        <x:v>Não</x:v>
      </x:c>
      <x:c r="AJ90" s="43"/>
      <x:c r="AK90" s="43"/>
      <x:c r="AL90" s="43" t="str">
        <x:v>https://perfildaindustria.portaldaindustria.com.br/estado/tudo/sp</x:v>
      </x:c>
      <x:c r="AM90" s="43" t="str">
        <x:v>https://fatruwal.com.br/contato/</x:v>
      </x:c>
      <x:c r="AN90" s="43" t="str">
        <x:v>Pesquise a empresa Fatruwal Vedações Industriais em Borracha, de Mauá/SP,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90" s="43" t="str">
        <x:v>2026-07-24 v1</x:v>
      </x:c>
    </x:row>
    <x:row r="91" ht="72" customHeight="1">
      <x:c r="A91" s="43" t="n">
        <x:v>90</x:v>
      </x:c>
      <x:c r="B91" s="43" t="str">
        <x:v>Vedavidro</x:v>
      </x:c>
      <x:c r="C91" s="43" t="str">
        <x:v>Fabricante/Vedações</x:v>
      </x:c>
      <x:c r="D91" s="43" t="str">
        <x:v>Mogi das Cruzes</x:v>
      </x:c>
      <x:c r="E91" s="43" t="str">
        <x:v>SP</x:v>
      </x:c>
      <x:c r="F91" s="43" t="str">
        <x:v>Sudeste</x:v>
      </x:c>
      <x:c r="G91" s="43" t="str">
        <x:v>C - Baixa</x:v>
      </x:c>
      <x:c r="H91" s="43" t="str">
        <x:v>Não contatado</x:v>
      </x:c>
      <x:c r="I91" s="43" t="str">
        <x:v>comercial@vedavidro.com.br</x:v>
      </x:c>
      <x:c r="J91" s="43" t="str">
        <x:v>https://vedavidro.com.br/sobre</x:v>
      </x:c>
      <x:c r="K91" s="43" t="str">
        <x:v>Sim</x:v>
      </x:c>
      <x:c r="L91" s="43" t="str">
        <x:v>fabricante ou transformador especializado em vedações</x:v>
      </x:c>
      <x:c r="M91" s="43" t="str">
        <x:v>máquinas, automotivo, químico, alimentos e manutenção industrial</x:v>
      </x:c>
      <x:c r="N91" s="43" t="str">
        <x:v>itens fora de padrão, picos de demanda, protótipos, reposições urgentes e lotes que exigem processo ou material específico</x:v>
      </x:c>
      <x:c r="O91" s="43" t="str">
        <x:v>componentes usinados e moldados em PTFE puro ou carregado, PU, NBR, FKM e materiais técnicos, conforme desenho ou amostra</x:v>
      </x:c>
      <x:c r="P91" s="43" t="str">
        <x:v>atuar como apoio produtivo complementar, preservando a relação comercial de vocês com o cliente final</x:v>
      </x:c>
      <x:c r="Q91" s="43" t="str">
        <x:v>Segmento da base: Fabricante/Vedações; localização: Mogi das Cruzes/SP; contexto industrial regional usado apenas como hipótese comercial. Domínio do e-mail coincide com a fonte oficial. Nenhuma afirmação sobre clientes ou aplicações específicas da empresa foi feita sem fonte.</x:v>
      </x:c>
      <x:c r="R91" s="43" t="str">
        <x:v>Alta</x:v>
      </x:c>
      <x:c r="S91" s="43" t="str">
        <x:v>Recomendada</x:v>
      </x:c>
      <x:c r="T91" s="43" t="str">
        <x:v>Capacidade complementar em vedações — Vedavidro</x:v>
      </x:c>
      <x:c r="U91" s="43" t="str">
        <x:v>Olá, equipe da Vedavidro,</x:v>
      </x:c>
      <x:c r="V91" s="43" t="str">
        <x:v>Olá, equipe da Vedavidro,
A Parts Seals está ampliando parcerias com empresas técnicas do setor, e o perfil da Vedavidro chamou nossa atenção pela atuação em fabricante/vedações.
Em Mogi das Cruzes/SP, cadeias como máquinas, automotivo, químico, alimentos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91" s="43" t="str">
        <x:v>Olá, equipe da Vedavidro,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91" s="43" t="str">
        <x:v>Olá, equipe da Vedavidro,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91" s="43" t="str">
        <x:v>Existe hoje algum item especial, urgente ou de baixa quantidade que esteja ocupando capacidade ou ficando sem atendimento?</x:v>
      </x:c>
      <x:c r="Z91" s="43" t="str">
        <x:v>Este contato foi direcionado a um canal corporativo público por possível aderência entre as atividades das empresas. Para não receber novas mensagens da Parts Seals, responda com REMOVER.</x:v>
      </x:c>
      <x:c r="AA91" s="43" t="str">
        <x:v>Aguardando aprovação</x:v>
      </x:c>
      <x:c r="AB91" s="43" t="str">
        <x:v>Não</x:v>
      </x:c>
      <x:c r="AC91" s="44"/>
      <x:c r="AD91" s="44"/>
      <x:c r="AE91" s="44"/>
      <x:c r="AF91" s="44"/>
      <x:c r="AG91" s="43"/>
      <x:c r="AH91" s="43"/>
      <x:c r="AI91" s="43" t="str">
        <x:v>Não</x:v>
      </x:c>
      <x:c r="AJ91" s="43"/>
      <x:c r="AK91" s="43"/>
      <x:c r="AL91" s="43" t="str">
        <x:v>https://perfildaindustria.portaldaindustria.com.br/estado/tudo/sp</x:v>
      </x:c>
      <x:c r="AM91" s="43" t="str">
        <x:v>https://vedavidro.com.br/sobre</x:v>
      </x:c>
      <x:c r="AN91" s="43" t="str">
        <x:v>Pesquise a empresa Vedavidro, de Mogi das Cruzes/SP,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91" s="43" t="str">
        <x:v>2026-07-24 v1</x:v>
      </x:c>
    </x:row>
    <x:row r="92" ht="72" customHeight="1">
      <x:c r="A92" s="43" t="n">
        <x:v>91</x:v>
      </x:c>
      <x:c r="B92" s="43" t="str">
        <x:v>Vedaflex Vedações</x:v>
      </x:c>
      <x:c r="C92" s="43" t="str">
        <x:v>Fabricante/Vedações</x:v>
      </x:c>
      <x:c r="D92" s="43" t="str">
        <x:v>Osasco</x:v>
      </x:c>
      <x:c r="E92" s="43" t="str">
        <x:v>SP</x:v>
      </x:c>
      <x:c r="F92" s="43" t="str">
        <x:v>Sudeste</x:v>
      </x:c>
      <x:c r="G92" s="43" t="str">
        <x:v>C - Baixa</x:v>
      </x:c>
      <x:c r="H92" s="43" t="str">
        <x:v>Não contatado</x:v>
      </x:c>
      <x:c r="I92" s="43" t="str">
        <x:v>contato@vedaflexvedacoes.com.br</x:v>
      </x:c>
      <x:c r="J92" s="43" t="str">
        <x:v>https://www.vedaflexvedacoes.com.br/</x:v>
      </x:c>
      <x:c r="K92" s="43" t="str">
        <x:v>Sim</x:v>
      </x:c>
      <x:c r="L92" s="43" t="str">
        <x:v>fabricante ou transformador especializado em vedações</x:v>
      </x:c>
      <x:c r="M92" s="43" t="str">
        <x:v>máquinas, automotivo, químico, alimentos e manutenção industrial</x:v>
      </x:c>
      <x:c r="N92" s="43" t="str">
        <x:v>itens fora de padrão, picos de demanda, protótipos, reposições urgentes e lotes que exigem processo ou material específico</x:v>
      </x:c>
      <x:c r="O92" s="43" t="str">
        <x:v>componentes usinados e moldados em PTFE puro ou carregado, PU, NBR, FKM e materiais técnicos, conforme desenho ou amostra</x:v>
      </x:c>
      <x:c r="P92" s="43" t="str">
        <x:v>atuar como apoio produtivo complementar, preservando a relação comercial de vocês com o cliente final</x:v>
      </x:c>
      <x:c r="Q92" s="43" t="str">
        <x:v>Segmento da base: Fabricante/Vedações; localização: Osasco/SP; contexto industrial regional usado apenas como hipótese comercial. Domínio do e-mail coincide com a fonte oficial. Nenhuma afirmação sobre clientes ou aplicações específicas da empresa foi feita sem fonte.</x:v>
      </x:c>
      <x:c r="R92" s="43" t="str">
        <x:v>Alta</x:v>
      </x:c>
      <x:c r="S92" s="43" t="str">
        <x:v>Recomendada</x:v>
      </x:c>
      <x:c r="T92" s="43" t="str">
        <x:v>Itens urgentes ou fora de padrão — Vedaflex Vedações</x:v>
      </x:c>
      <x:c r="U92" s="43" t="str">
        <x:v>Olá, equipe da Vedaflex Vedações,</x:v>
      </x:c>
      <x:c r="V92" s="43" t="str">
        <x:v>Olá, equipe da Vedaflex Vedações,
Gostaria de apresentar uma possibilidade de apoio complementar à Vedaflex Vedações para peças especiais, urgências e reposições fora de catálogo.
Em Osasco/SP, cadeias como máquinas, automotivo, químico, alimentos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92" s="43" t="str">
        <x:v>Olá, equipe da Vedaflex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92" s="43" t="str">
        <x:v>Olá, equipe da Vedaflex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92" s="43" t="str">
        <x:v>Existe hoje algum item especial, urgente ou de baixa quantidade que esteja ocupando capacidade ou ficando sem atendimento?</x:v>
      </x:c>
      <x:c r="Z92" s="43" t="str">
        <x:v>Este contato foi direcionado a um canal corporativo público por possível aderência entre as atividades das empresas. Para não receber novas mensagens da Parts Seals, responda com REMOVER.</x:v>
      </x:c>
      <x:c r="AA92" s="43" t="str">
        <x:v>Aguardando aprovação</x:v>
      </x:c>
      <x:c r="AB92" s="43" t="str">
        <x:v>Não</x:v>
      </x:c>
      <x:c r="AC92" s="44"/>
      <x:c r="AD92" s="44"/>
      <x:c r="AE92" s="44"/>
      <x:c r="AF92" s="44"/>
      <x:c r="AG92" s="43"/>
      <x:c r="AH92" s="43"/>
      <x:c r="AI92" s="43" t="str">
        <x:v>Não</x:v>
      </x:c>
      <x:c r="AJ92" s="43"/>
      <x:c r="AK92" s="43"/>
      <x:c r="AL92" s="43" t="str">
        <x:v>https://perfildaindustria.portaldaindustria.com.br/estado/tudo/sp</x:v>
      </x:c>
      <x:c r="AM92" s="43" t="str">
        <x:v>https://www.vedaflexvedacoes.com.br/</x:v>
      </x:c>
      <x:c r="AN92" s="43" t="str">
        <x:v>Pesquise a empresa Vedaflex Vedações, de Osasco/SP,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92" s="43" t="str">
        <x:v>2026-07-24 v1</x:v>
      </x:c>
    </x:row>
    <x:row r="93" ht="72" customHeight="1">
      <x:c r="A93" s="43" t="n">
        <x:v>92</x:v>
      </x:c>
      <x:c r="B93" s="43" t="str">
        <x:v>Center Seals Vedações Industriais e Hidráulicas</x:v>
      </x:c>
      <x:c r="C93" s="43" t="str">
        <x:v>Vedações</x:v>
      </x:c>
      <x:c r="D93" s="43" t="str">
        <x:v>Piracicaba</x:v>
      </x:c>
      <x:c r="E93" s="43" t="str">
        <x:v>SP</x:v>
      </x:c>
      <x:c r="F93" s="43" t="str">
        <x:v>Sudeste</x:v>
      </x:c>
      <x:c r="G93" s="43" t="str">
        <x:v>A - Alta</x:v>
      </x:c>
      <x:c r="H93" s="43" t="str">
        <x:v>Não contatado</x:v>
      </x:c>
      <x:c r="I93" s="43" t="str">
        <x:v>contato@centerseals.com.br</x:v>
      </x:c>
      <x:c r="J93" s="43" t="str">
        <x:v>https://centerseals.com.br/</x:v>
      </x:c>
      <x:c r="K93" s="43" t="str">
        <x:v>Sim</x:v>
      </x:c>
      <x:c r="L93" s="43" t="str">
        <x:v>especialista ou revenda de vedações industriais</x:v>
      </x:c>
      <x:c r="M93" s="43" t="str">
        <x:v>açúcar e etanol, máquinas agrícolas, metalmecânico e automotivo</x:v>
      </x:c>
      <x:c r="N93" s="43" t="str">
        <x:v>gaxetas, raspadores, anéis guia, vedações de haste e pistão, retentores especiais e reposições fora de linha</x:v>
      </x:c>
      <x:c r="O93" s="43" t="str">
        <x:v>peças sob medida em PTFE puro ou carregado, poliuretano, NBR, FKM, nylon e outros materiais técnicos</x:v>
      </x:c>
      <x:c r="P93" s="43" t="str">
        <x:v>complementar o portfólio com itens especiais, pequenas e médias séries, urgências e fabricação por desenho ou amostra</x:v>
      </x:c>
      <x:c r="Q93" s="43" t="str">
        <x:v>Segmento da base: Vedações; localização: Piracicaba/SP; contexto industrial regional usado apenas como hipótese comercial. Domínio do e-mail coincide com a fonte oficial. Nenhuma afirmação sobre clientes ou aplicações específicas da empresa foi feita sem fonte.</x:v>
      </x:c>
      <x:c r="R93" s="43" t="str">
        <x:v>Alta</x:v>
      </x:c>
      <x:c r="S93" s="43" t="str">
        <x:v>Recomendada</x:v>
      </x:c>
      <x:c r="T93" s="43" t="str">
        <x:v>Peças especiais para complementar o atendimento da Center Seals Vedações Industriais e Hidráulicas</x:v>
      </x:c>
      <x:c r="U93" s="43" t="str">
        <x:v>Olá, equipe da Center Seals Vedações Industriais e Hidráulicas,</x:v>
      </x:c>
      <x:c r="V93" s="43" t="str">
        <x:v>Olá, equipe da Center Seals Vedações Industriais e Hidráulicas,
Estou entrando em contato porque a atuação da Center Seals Vedações Industriais e Hidráulicas em vedações tem boa aderência ao tipo de fabricação especial que realizamos na Parts Seals.
Em Piracicaba/SP, cadeias como açúcar e etanol, máquinas agrícolas, metalmecânico e automotivo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93" s="43" t="str">
        <x:v>Olá, equipe da Center Seals Vedações Industriais e Hidráulicas,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93" s="43" t="str">
        <x:v>Olá, equipe da Center Seals Vedações Industriais e Hidráulicas,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93" s="43" t="str">
        <x:v>Vocês recebem consultas de peças especiais que acabam sem atendimento por prazo, material, quantidade ou ausência de desenho?</x:v>
      </x:c>
      <x:c r="Z93" s="43" t="str">
        <x:v>Este contato foi direcionado a um canal corporativo público por possível aderência entre as atividades das empresas. Para não receber novas mensagens da Parts Seals, responda com REMOVER.</x:v>
      </x:c>
      <x:c r="AA93" s="43" t="str">
        <x:v>Aguardando aprovação</x:v>
      </x:c>
      <x:c r="AB93" s="43" t="str">
        <x:v>Não</x:v>
      </x:c>
      <x:c r="AC93" s="44"/>
      <x:c r="AD93" s="44"/>
      <x:c r="AE93" s="44"/>
      <x:c r="AF93" s="44"/>
      <x:c r="AG93" s="43"/>
      <x:c r="AH93" s="43"/>
      <x:c r="AI93" s="43" t="str">
        <x:v>Não</x:v>
      </x:c>
      <x:c r="AJ93" s="43"/>
      <x:c r="AK93" s="43"/>
      <x:c r="AL93" s="43" t="str">
        <x:v>https://perfildaindustria.portaldaindustria.com.br/estado/tudo/sp</x:v>
      </x:c>
      <x:c r="AM93" s="43" t="str">
        <x:v>https://centerseals.com.br/</x:v>
      </x:c>
      <x:c r="AN93" s="43" t="str">
        <x:v>Pesquise a empresa Center Seals Vedações Industriais e Hidráulicas, de Piracicaba/SP,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93" s="43" t="str">
        <x:v>2026-07-24 v1</x:v>
      </x:c>
    </x:row>
    <x:row r="94" ht="72" customHeight="1">
      <x:c r="A94" s="43" t="n">
        <x:v>93</x:v>
      </x:c>
      <x:c r="B94" s="43" t="str">
        <x:v>Dracom Vedações e Serviços Hidráulicos</x:v>
      </x:c>
      <x:c r="C94" s="43" t="str">
        <x:v>Hidráulica/Vedações</x:v>
      </x:c>
      <x:c r="D94" s="43" t="str">
        <x:v>Piracicaba</x:v>
      </x:c>
      <x:c r="E94" s="43" t="str">
        <x:v>SP</x:v>
      </x:c>
      <x:c r="F94" s="43" t="str">
        <x:v>Sudeste</x:v>
      </x:c>
      <x:c r="G94" s="43" t="str">
        <x:v>B - Média</x:v>
      </x:c>
      <x:c r="H94" s="43" t="str">
        <x:v>Não contatado</x:v>
      </x:c>
      <x:c r="I94" s="43" t="str">
        <x:v>vendas1@dracom.com.br</x:v>
      </x:c>
      <x:c r="J94" s="43" t="str">
        <x:v>https://dracom.com.br/</x:v>
      </x:c>
      <x:c r="K94" s="43" t="str">
        <x:v>Sim</x:v>
      </x:c>
      <x:c r="L94" s="43" t="str">
        <x:v>fornecedor de componentes hidráulicos e vedações</x:v>
      </x:c>
      <x:c r="M94" s="43" t="str">
        <x:v>açúcar e etanol, máquinas agrícolas, metalmecânico e automotivo</x:v>
      </x:c>
      <x:c r="N94" s="43" t="str">
        <x:v>gaxetas de haste e pistão, raspadores, anéis guia, vedações rotativas e kits para cilindros hidráulicos</x:v>
      </x:c>
      <x:c r="O94" s="43" t="str">
        <x:v>vedações em PU, PTFE puro ou carregado, NBR e FKM, dimensionadas conforme pressão, velocidade, fluido e temperatura</x:v>
      </x:c>
      <x:c r="P94" s="43" t="str">
        <x:v>apoiar reformas e montagens com peças não padronizadas, reposições antigas e fabricação rápida por amostra ou desenho</x:v>
      </x:c>
      <x:c r="Q94" s="43" t="str">
        <x:v>Segmento da base: Hidráulica/Vedações; localização: Piracicaba/SP; contexto industrial regional usado apenas como hipótese comercial. Domínio do e-mail coincide com a fonte oficial. Nenhuma afirmação sobre clientes ou aplicações específicas da empresa foi feita sem fonte.</x:v>
      </x:c>
      <x:c r="R94" s="43" t="str">
        <x:v>Alta</x:v>
      </x:c>
      <x:c r="S94" s="43" t="str">
        <x:v>Recomendada</x:v>
      </x:c>
      <x:c r="T94" s="43" t="str">
        <x:v>Apoio em cilindros e medidas fora de catálogo</x:v>
      </x:c>
      <x:c r="U94" s="43" t="str">
        <x:v>Olá, equipe da Dracom Vedações e Serviços Hidráulicos,</x:v>
      </x:c>
      <x:c r="V94" s="43" t="str">
        <x:v>Olá, equipe da Dracom Vedações e Serviços Hidráulicos,
Ao analisar o perfil da Dracom Vedações e Serviços Hidráulicos em Piracicaba, identifiquei uma possibilidade de parceria para demandas de vedação que não se encaixam bem em linhas padronizadas.
Em Piracicaba/SP, cadeias como açúcar e etanol, máquinas agrícolas, metalmecânico e automotivo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PU, PTFE, NBR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94" s="43" t="str">
        <x:v>Olá, equipe da Dracom Vedações e Serviços Hidráulicos,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94" s="43" t="str">
        <x:v>Olá, equipe da Dracom Vedações e Serviços Hidráulicos,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94" s="43" t="str">
        <x:v>Há cilindros ou equipamentos para os quais vocês têm dificuldade de localizar a vedação correta ou cumprir o prazo do cliente?</x:v>
      </x:c>
      <x:c r="Z94" s="43" t="str">
        <x:v>Este contato foi direcionado a um canal corporativo público por possível aderência entre as atividades das empresas. Para não receber novas mensagens da Parts Seals, responda com REMOVER.</x:v>
      </x:c>
      <x:c r="AA94" s="43" t="str">
        <x:v>Aguardando aprovação</x:v>
      </x:c>
      <x:c r="AB94" s="43" t="str">
        <x:v>Não</x:v>
      </x:c>
      <x:c r="AC94" s="44"/>
      <x:c r="AD94" s="44"/>
      <x:c r="AE94" s="44"/>
      <x:c r="AF94" s="44"/>
      <x:c r="AG94" s="43"/>
      <x:c r="AH94" s="43"/>
      <x:c r="AI94" s="43" t="str">
        <x:v>Não</x:v>
      </x:c>
      <x:c r="AJ94" s="43"/>
      <x:c r="AK94" s="43"/>
      <x:c r="AL94" s="43" t="str">
        <x:v>https://perfildaindustria.portaldaindustria.com.br/estado/tudo/sp</x:v>
      </x:c>
      <x:c r="AM94" s="43" t="str">
        <x:v>https://dracom.com.br/</x:v>
      </x:c>
      <x:c r="AN94" s="43" t="str">
        <x:v>Pesquise a empresa Dracom Vedações e Serviços Hidráulicos, de Piracicaba/SP,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94" s="43" t="str">
        <x:v>2026-07-24 v1</x:v>
      </x:c>
    </x:row>
    <x:row r="95" ht="72" customHeight="1">
      <x:c r="A95" s="43" t="n">
        <x:v>94</x:v>
      </x:c>
      <x:c r="B95" s="43" t="str">
        <x:v>MJF Comércio de Vedações</x:v>
      </x:c>
      <x:c r="C95" s="43" t="str">
        <x:v>Fabricante/Vedações</x:v>
      </x:c>
      <x:c r="D95" s="43" t="str">
        <x:v>Piracicaba</x:v>
      </x:c>
      <x:c r="E95" s="43" t="str">
        <x:v>SP</x:v>
      </x:c>
      <x:c r="F95" s="43" t="str">
        <x:v>Sudeste</x:v>
      </x:c>
      <x:c r="G95" s="43" t="str">
        <x:v>B - Média</x:v>
      </x:c>
      <x:c r="H95" s="43" t="str">
        <x:v>Não contatado</x:v>
      </x:c>
      <x:c r="I95" s="43"/>
      <x:c r="J95" s="43" t="str">
        <x:v>Não localizado em fonte pública confiável até 24/07/2026</x:v>
      </x:c>
      <x:c r="K95" s="43" t="str">
        <x:v>Não</x:v>
      </x:c>
      <x:c r="L95" s="43" t="str">
        <x:v>fabricante ou transformador especializado em vedações</x:v>
      </x:c>
      <x:c r="M95" s="43" t="str">
        <x:v>açúcar e etanol, máquinas agrícolas, metalmecânico e automotivo</x:v>
      </x:c>
      <x:c r="N95" s="43" t="str">
        <x:v>itens fora de padrão, picos de demanda, protótipos, reposições urgentes e lotes que exigem processo ou material específico</x:v>
      </x:c>
      <x:c r="O95" s="43" t="str">
        <x:v>componentes usinados e moldados em PTFE puro ou carregado, PU, NBR, FKM e materiais técnicos, conforme desenho ou amostra</x:v>
      </x:c>
      <x:c r="P95" s="43" t="str">
        <x:v>atuar como apoio produtivo complementar, preservando a relação comercial de vocês com o cliente final</x:v>
      </x:c>
      <x:c r="Q95" s="43" t="str">
        <x:v>Segmento da base: Fabricante/Vedações; localização: Piracicaba/SP; contexto industrial regional usado apenas como hipótese comercial. Sem e-mail público localizado. Nenhuma afirmação sobre clientes ou aplicações específicas da empresa foi feita sem fonte.</x:v>
      </x:c>
      <x:c r="R95" s="43" t="str">
        <x:v>Baixa</x:v>
      </x:c>
      <x:c r="S95" s="43" t="str">
        <x:v>Sim</x:v>
      </x:c>
      <x:c r="T95" s="43" t="str">
        <x:v>Capacidade complementar em vedações — MJF Comércio de Vedações</x:v>
      </x:c>
      <x:c r="U95" s="43" t="str">
        <x:v>Olá, equipe da MJF Comércio de Vedações,</x:v>
      </x:c>
      <x:c r="V95" s="43" t="str">
        <x:v>Olá, equipe da MJF Comércio de Vedações,
A Parts Seals está ampliando parcerias com empresas técnicas do setor, e o perfil da MJF Comércio de Vedações chamou nossa atenção pela atuação em fabricante/vedações.
Em Piracicaba/SP, cadeias como açúcar e etanol, máquinas agrícolas, metalmecânico e automotivo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PTFE, NBR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95" s="43" t="str">
        <x:v>Olá, equipe da MJF Comércio de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95" s="43" t="str">
        <x:v>Olá, equipe da MJF Comércio de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95" s="43" t="str">
        <x:v>Existe hoje algum item especial, urgente ou de baixa quantidade que esteja ocupando capacidade ou ficando sem atendimento?</x:v>
      </x:c>
      <x:c r="Z95" s="43" t="str">
        <x:v>Este contato foi direcionado a um canal corporativo público por possível aderência entre as atividades das empresas. Para não receber novas mensagens da Parts Seals, responda com REMOVER.</x:v>
      </x:c>
      <x:c r="AA95" s="43" t="str">
        <x:v>Sem e-mail</x:v>
      </x:c>
      <x:c r="AB95" s="43" t="str">
        <x:v>Não</x:v>
      </x:c>
      <x:c r="AC95" s="44"/>
      <x:c r="AD95" s="44"/>
      <x:c r="AE95" s="44"/>
      <x:c r="AF95" s="44"/>
      <x:c r="AG95" s="43"/>
      <x:c r="AH95" s="43"/>
      <x:c r="AI95" s="43" t="str">
        <x:v>Não</x:v>
      </x:c>
      <x:c r="AJ95" s="43"/>
      <x:c r="AK95" s="43"/>
      <x:c r="AL95" s="43" t="str">
        <x:v>https://perfildaindustria.portaldaindustria.com.br/estado/tudo/sp</x:v>
      </x:c>
      <x:c r="AM95" s="43" t="str">
        <x:v>Não localizado em fonte pública confiável até 24/07/2026</x:v>
      </x:c>
      <x:c r="AN95" s="43" t="str">
        <x:v>Pesquise a empresa MJF Comércio de Vedações, de Piracicaba/SP,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95" s="43" t="str">
        <x:v>2026-07-24 v1</x:v>
      </x:c>
    </x:row>
    <x:row r="96" ht="72" customHeight="1">
      <x:c r="A96" s="43" t="n">
        <x:v>95</x:v>
      </x:c>
      <x:c r="B96" s="43" t="str">
        <x:v>Mariana Mangueiras e Vedações Hidráulicas</x:v>
      </x:c>
      <x:c r="C96" s="43" t="str">
        <x:v>Hidráulica/Vedações</x:v>
      </x:c>
      <x:c r="D96" s="43" t="str">
        <x:v>Piracicaba</x:v>
      </x:c>
      <x:c r="E96" s="43" t="str">
        <x:v>SP</x:v>
      </x:c>
      <x:c r="F96" s="43" t="str">
        <x:v>Sudeste</x:v>
      </x:c>
      <x:c r="G96" s="43" t="str">
        <x:v>B - Média</x:v>
      </x:c>
      <x:c r="H96" s="43" t="str">
        <x:v>Não contatado</x:v>
      </x:c>
      <x:c r="I96" s="43"/>
      <x:c r="J96" s="43" t="str">
        <x:v>Não localizado em fonte pública confiável até 24/07/2026</x:v>
      </x:c>
      <x:c r="K96" s="43" t="str">
        <x:v>Não</x:v>
      </x:c>
      <x:c r="L96" s="43" t="str">
        <x:v>fornecedor de componentes hidráulicos e vedações</x:v>
      </x:c>
      <x:c r="M96" s="43" t="str">
        <x:v>açúcar e etanol, máquinas agrícolas, metalmecânico e automotivo</x:v>
      </x:c>
      <x:c r="N96" s="43" t="str">
        <x:v>gaxetas de haste e pistão, raspadores, anéis guia, vedações rotativas e kits para cilindros hidráulicos</x:v>
      </x:c>
      <x:c r="O96" s="43" t="str">
        <x:v>vedações em PU, PTFE puro ou carregado, NBR e FKM, dimensionadas conforme pressão, velocidade, fluido e temperatura</x:v>
      </x:c>
      <x:c r="P96" s="43" t="str">
        <x:v>apoiar reformas e montagens com peças não padronizadas, reposições antigas e fabricação rápida por amostra ou desenho</x:v>
      </x:c>
      <x:c r="Q96" s="43" t="str">
        <x:v>Segmento da base: Hidráulica/Vedações; localização: Piracicaba/SP; contexto industrial regional usado apenas como hipótese comercial. Sem e-mail público localizado. Nenhuma afirmação sobre clientes ou aplicações específicas da empresa foi feita sem fonte.</x:v>
      </x:c>
      <x:c r="R96" s="43" t="str">
        <x:v>Baixa</x:v>
      </x:c>
      <x:c r="S96" s="43" t="str">
        <x:v>Sim</x:v>
      </x:c>
      <x:c r="T96" s="43" t="str">
        <x:v>Possível parceria técnica com a Mariana Mangueiras e Vedações Hidráulicas</x:v>
      </x:c>
      <x:c r="U96" s="43" t="str">
        <x:v>Olá, equipe da Mariana Mangueiras e Vedações Hidráulicas,</x:v>
      </x:c>
      <x:c r="V96" s="43" t="str">
        <x:v>Olá, equipe da Mariana Mangueiras e Vedações Hidráulicas,
Gostaria de apresentar uma possibilidade de apoio complementar à Mariana Mangueiras e Vedações Hidráulicas para peças especiais, urgências e reposições fora de catálogo.
Em Piracicaba/SP, cadeias como açúcar e etanol, máquinas agrícolas, metalmecânico e automotivo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PU, PTFE, NBR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96" s="43" t="str">
        <x:v>Olá, equipe da Mariana Mangueiras e Vedações Hidráulicas,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96" s="43" t="str">
        <x:v>Olá, equipe da Mariana Mangueiras e Vedações Hidráulicas,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96" s="43" t="str">
        <x:v>Há cilindros ou equipamentos para os quais vocês têm dificuldade de localizar a vedação correta ou cumprir o prazo do cliente?</x:v>
      </x:c>
      <x:c r="Z96" s="43" t="str">
        <x:v>Este contato foi direcionado a um canal corporativo público por possível aderência entre as atividades das empresas. Para não receber novas mensagens da Parts Seals, responda com REMOVER.</x:v>
      </x:c>
      <x:c r="AA96" s="43" t="str">
        <x:v>Sem e-mail</x:v>
      </x:c>
      <x:c r="AB96" s="43" t="str">
        <x:v>Não</x:v>
      </x:c>
      <x:c r="AC96" s="44"/>
      <x:c r="AD96" s="44"/>
      <x:c r="AE96" s="44"/>
      <x:c r="AF96" s="44"/>
      <x:c r="AG96" s="43"/>
      <x:c r="AH96" s="43"/>
      <x:c r="AI96" s="43" t="str">
        <x:v>Não</x:v>
      </x:c>
      <x:c r="AJ96" s="43"/>
      <x:c r="AK96" s="43"/>
      <x:c r="AL96" s="43" t="str">
        <x:v>https://perfildaindustria.portaldaindustria.com.br/estado/tudo/sp</x:v>
      </x:c>
      <x:c r="AM96" s="43" t="str">
        <x:v>Não localizado em fonte pública confiável até 24/07/2026</x:v>
      </x:c>
      <x:c r="AN96" s="43" t="str">
        <x:v>Pesquise a empresa Mariana Mangueiras e Vedações Hidráulicas, de Piracicaba/SP,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96" s="43" t="str">
        <x:v>2026-07-24 v1</x:v>
      </x:c>
    </x:row>
    <x:row r="97" ht="72" customHeight="1">
      <x:c r="A97" s="43" t="n">
        <x:v>96</x:v>
      </x:c>
      <x:c r="B97" s="43" t="str">
        <x:v>Piranel</x:v>
      </x:c>
      <x:c r="C97" s="43" t="str">
        <x:v>Fabricante/Vedações</x:v>
      </x:c>
      <x:c r="D97" s="43" t="str">
        <x:v>Piracicaba</x:v>
      </x:c>
      <x:c r="E97" s="43" t="str">
        <x:v>SP</x:v>
      </x:c>
      <x:c r="F97" s="43" t="str">
        <x:v>Sudeste</x:v>
      </x:c>
      <x:c r="G97" s="43" t="str">
        <x:v>A - Alta</x:v>
      </x:c>
      <x:c r="H97" s="43" t="str">
        <x:v>Não contatado</x:v>
      </x:c>
      <x:c r="I97" s="43" t="str">
        <x:v>piranel@piranel.com.br</x:v>
      </x:c>
      <x:c r="J97" s="43" t="str">
        <x:v>https://www.piranel.com.br/pages/contato.php</x:v>
      </x:c>
      <x:c r="K97" s="43" t="str">
        <x:v>Sim</x:v>
      </x:c>
      <x:c r="L97" s="43" t="str">
        <x:v>fabricante ou transformador especializado em vedações</x:v>
      </x:c>
      <x:c r="M97" s="43" t="str">
        <x:v>açúcar e etanol, máquinas agrícolas, metalmecânico e automotivo</x:v>
      </x:c>
      <x:c r="N97" s="43" t="str">
        <x:v>itens fora de padrão, picos de demanda, protótipos, reposições urgentes e lotes que exigem processo ou material específico</x:v>
      </x:c>
      <x:c r="O97" s="43" t="str">
        <x:v>componentes usinados e moldados em PTFE puro ou carregado, PU, NBR, FKM e materiais técnicos, conforme desenho ou amostra</x:v>
      </x:c>
      <x:c r="P97" s="43" t="str">
        <x:v>atuar como apoio produtivo complementar, preservando a relação comercial de vocês com o cliente final</x:v>
      </x:c>
      <x:c r="Q97" s="43" t="str">
        <x:v>Segmento da base: Fabricante/Vedações; localização: Piracicaba/SP; contexto industrial regional usado apenas como hipótese comercial. Domínio do e-mail coincide com a fonte oficial. Nenhuma afirmação sobre clientes ou aplicações específicas da empresa foi feita sem fonte.</x:v>
      </x:c>
      <x:c r="R97" s="43" t="str">
        <x:v>Alta</x:v>
      </x:c>
      <x:c r="S97" s="43" t="str">
        <x:v>Recomendada</x:v>
      </x:c>
      <x:c r="T97" s="43" t="str">
        <x:v>Apoio produtivo para itens especiais — Piranel</x:v>
      </x:c>
      <x:c r="U97" s="43" t="str">
        <x:v>Olá, equipe da Piranel,</x:v>
      </x:c>
      <x:c r="V97" s="43" t="str">
        <x:v>Olá, equipe da Piranel,
Estou entrando em contato porque a atuação da Piranel em fabricante/vedações tem boa aderência ao tipo de fabricação especial que realizamos na Parts Seals.
Em Piracicaba/SP, cadeias como açúcar e etanol, máquinas agrícolas, metalmecânico e automotivo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PTFE, NBR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97" s="43" t="str">
        <x:v>Olá, equipe da Piranel,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97" s="43" t="str">
        <x:v>Olá, equipe da Piranel,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97" s="43" t="str">
        <x:v>Existe hoje algum item especial, urgente ou de baixa quantidade que esteja ocupando capacidade ou ficando sem atendimento?</x:v>
      </x:c>
      <x:c r="Z97" s="43" t="str">
        <x:v>Este contato foi direcionado a um canal corporativo público por possível aderência entre as atividades das empresas. Para não receber novas mensagens da Parts Seals, responda com REMOVER.</x:v>
      </x:c>
      <x:c r="AA97" s="43" t="str">
        <x:v>Aguardando aprovação</x:v>
      </x:c>
      <x:c r="AB97" s="43" t="str">
        <x:v>Não</x:v>
      </x:c>
      <x:c r="AC97" s="44"/>
      <x:c r="AD97" s="44"/>
      <x:c r="AE97" s="44"/>
      <x:c r="AF97" s="44"/>
      <x:c r="AG97" s="43"/>
      <x:c r="AH97" s="43"/>
      <x:c r="AI97" s="43" t="str">
        <x:v>Não</x:v>
      </x:c>
      <x:c r="AJ97" s="43"/>
      <x:c r="AK97" s="43"/>
      <x:c r="AL97" s="43" t="str">
        <x:v>https://perfildaindustria.portaldaindustria.com.br/estado/tudo/sp</x:v>
      </x:c>
      <x:c r="AM97" s="43" t="str">
        <x:v>https://www.piranel.com.br/pages/contato.php</x:v>
      </x:c>
      <x:c r="AN97" s="43" t="str">
        <x:v>Pesquise a empresa Piranel, de Piracicaba/SP,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97" s="43" t="str">
        <x:v>2026-07-24 v1</x:v>
      </x:c>
    </x:row>
    <x:row r="98" ht="72" customHeight="1">
      <x:c r="A98" s="43" t="n">
        <x:v>97</x:v>
      </x:c>
      <x:c r="B98" s="43" t="str">
        <x:v>RP Seals Vedações Industriais</x:v>
      </x:c>
      <x:c r="C98" s="43" t="str">
        <x:v>Vedações</x:v>
      </x:c>
      <x:c r="D98" s="43" t="str">
        <x:v>Piracicaba</x:v>
      </x:c>
      <x:c r="E98" s="43" t="str">
        <x:v>SP</x:v>
      </x:c>
      <x:c r="F98" s="43" t="str">
        <x:v>Sudeste</x:v>
      </x:c>
      <x:c r="G98" s="43" t="str">
        <x:v>C - Baixa</x:v>
      </x:c>
      <x:c r="H98" s="43" t="str">
        <x:v>Não contatado</x:v>
      </x:c>
      <x:c r="I98" s="43"/>
      <x:c r="J98" s="43" t="str">
        <x:v>Não localizado em fonte pública confiável até 24/07/2026</x:v>
      </x:c>
      <x:c r="K98" s="43" t="str">
        <x:v>Não</x:v>
      </x:c>
      <x:c r="L98" s="43" t="str">
        <x:v>especialista ou revenda de vedações industriais</x:v>
      </x:c>
      <x:c r="M98" s="43" t="str">
        <x:v>açúcar e etanol, máquinas agrícolas, metalmecânico e automotivo</x:v>
      </x:c>
      <x:c r="N98" s="43" t="str">
        <x:v>gaxetas, raspadores, anéis guia, vedações de haste e pistão, retentores especiais e reposições fora de linha</x:v>
      </x:c>
      <x:c r="O98" s="43" t="str">
        <x:v>peças sob medida em PTFE puro ou carregado, poliuretano, NBR, FKM, nylon e outros materiais técnicos</x:v>
      </x:c>
      <x:c r="P98" s="43" t="str">
        <x:v>complementar o portfólio com itens especiais, pequenas e médias séries, urgências e fabricação por desenho ou amostra</x:v>
      </x:c>
      <x:c r="Q98" s="43" t="str">
        <x:v>Segmento da base: Vedações; localização: Piracicaba/SP; contexto industrial regional usado apenas como hipótese comercial. Sem e-mail público localizado. Nenhuma afirmação sobre clientes ou aplicações específicas da empresa foi feita sem fonte.</x:v>
      </x:c>
      <x:c r="R98" s="43" t="str">
        <x:v>Baixa</x:v>
      </x:c>
      <x:c r="S98" s="43" t="str">
        <x:v>Sim</x:v>
      </x:c>
      <x:c r="T98" s="43" t="str">
        <x:v>Possível parceria técnica — RP Seals Vedações Industriais e Parts Seals</x:v>
      </x:c>
      <x:c r="U98" s="43" t="str">
        <x:v>Olá, equipe da RP Seals Vedações Industriais,</x:v>
      </x:c>
      <x:c r="V98" s="43" t="str">
        <x:v>Olá, equipe da RP Seals Vedações Industriais,
Ao analisar o perfil da RP Seals Vedações Industriais em Piracicaba, identifiquei uma possibilidade de parceria para demandas de vedação que não se encaixam bem em linhas padronizadas.
Em Piracicaba/SP, cadeias como açúcar e etanol, máquinas agrícolas, metalmecânico e automotivo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98" s="43" t="str">
        <x:v>Olá, equipe da RP Seals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98" s="43" t="str">
        <x:v>Olá, equipe da RP Seals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98" s="43" t="str">
        <x:v>Vocês recebem consultas de peças especiais que acabam sem atendimento por prazo, material, quantidade ou ausência de desenho?</x:v>
      </x:c>
      <x:c r="Z98" s="43" t="str">
        <x:v>Este contato foi direcionado a um canal corporativo público por possível aderência entre as atividades das empresas. Para não receber novas mensagens da Parts Seals, responda com REMOVER.</x:v>
      </x:c>
      <x:c r="AA98" s="43" t="str">
        <x:v>Sem e-mail</x:v>
      </x:c>
      <x:c r="AB98" s="43" t="str">
        <x:v>Não</x:v>
      </x:c>
      <x:c r="AC98" s="44"/>
      <x:c r="AD98" s="44"/>
      <x:c r="AE98" s="44"/>
      <x:c r="AF98" s="44"/>
      <x:c r="AG98" s="43"/>
      <x:c r="AH98" s="43"/>
      <x:c r="AI98" s="43" t="str">
        <x:v>Não</x:v>
      </x:c>
      <x:c r="AJ98" s="43"/>
      <x:c r="AK98" s="43"/>
      <x:c r="AL98" s="43" t="str">
        <x:v>https://perfildaindustria.portaldaindustria.com.br/estado/tudo/sp</x:v>
      </x:c>
      <x:c r="AM98" s="43" t="str">
        <x:v>Não localizado em fonte pública confiável até 24/07/2026</x:v>
      </x:c>
      <x:c r="AN98" s="43" t="str">
        <x:v>Pesquise a empresa RP Seals Vedações Industriais, de Piracicaba/SP,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98" s="43" t="str">
        <x:v>2026-07-24 v1</x:v>
      </x:c>
    </x:row>
    <x:row r="99" ht="72" customHeight="1">
      <x:c r="A99" s="43" t="n">
        <x:v>98</x:v>
      </x:c>
      <x:c r="B99" s="43" t="str">
        <x:v>Retenfix Industrial Seals</x:v>
      </x:c>
      <x:c r="C99" s="43" t="str">
        <x:v>Vedações</x:v>
      </x:c>
      <x:c r="D99" s="43" t="str">
        <x:v>Piracicaba</x:v>
      </x:c>
      <x:c r="E99" s="43" t="str">
        <x:v>SP</x:v>
      </x:c>
      <x:c r="F99" s="43" t="str">
        <x:v>Sudeste</x:v>
      </x:c>
      <x:c r="G99" s="43" t="str">
        <x:v>B - Média</x:v>
      </x:c>
      <x:c r="H99" s="43" t="str">
        <x:v>Não contatado</x:v>
      </x:c>
      <x:c r="I99" s="43" t="str">
        <x:v>piracicaba@retenfix.com.br</x:v>
      </x:c>
      <x:c r="J99" s="43" t="str">
        <x:v>https://retenfix.com.br/contato/</x:v>
      </x:c>
      <x:c r="K99" s="43" t="str">
        <x:v>Sim</x:v>
      </x:c>
      <x:c r="L99" s="43" t="str">
        <x:v>especialista ou revenda de vedações industriais</x:v>
      </x:c>
      <x:c r="M99" s="43" t="str">
        <x:v>açúcar e etanol, máquinas agrícolas, metalmecânico e automotivo</x:v>
      </x:c>
      <x:c r="N99" s="43" t="str">
        <x:v>gaxetas, raspadores, anéis guia, vedações de haste e pistão, retentores especiais e reposições fora de linha</x:v>
      </x:c>
      <x:c r="O99" s="43" t="str">
        <x:v>peças sob medida em PTFE puro ou carregado, poliuretano, NBR, FKM, nylon e outros materiais técnicos</x:v>
      </x:c>
      <x:c r="P99" s="43" t="str">
        <x:v>complementar o portfólio com itens especiais, pequenas e médias séries, urgências e fabricação por desenho ou amostra</x:v>
      </x:c>
      <x:c r="Q99" s="43" t="str">
        <x:v>Segmento da base: Vedações; localização: Piracicaba/SP; contexto industrial regional usado apenas como hipótese comercial. Domínio do e-mail coincide com a fonte oficial. Nenhuma afirmação sobre clientes ou aplicações específicas da empresa foi feita sem fonte.</x:v>
      </x:c>
      <x:c r="R99" s="43" t="str">
        <x:v>Alta</x:v>
      </x:c>
      <x:c r="S99" s="43" t="str">
        <x:v>Recomendada</x:v>
      </x:c>
      <x:c r="T99" s="43" t="str">
        <x:v>Apoio em vedações sob medida para a Retenfix Industrial Seals</x:v>
      </x:c>
      <x:c r="U99" s="43" t="str">
        <x:v>Olá, equipe da Retenfix Industrial Seals,</x:v>
      </x:c>
      <x:c r="V99" s="43" t="str">
        <x:v>Olá, equipe da Retenfix Industrial Seals,
A Parts Seals está ampliando parcerias com empresas técnicas do setor, e o perfil da Retenfix Industrial Seals chamou nossa atenção pela atuação em vedações.
Em Piracicaba/SP, cadeias como açúcar e etanol, máquinas agrícolas, metalmecânico e automotivo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99" s="43" t="str">
        <x:v>Olá, equipe da Retenfix Industrial Seals,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99" s="43" t="str">
        <x:v>Olá, equipe da Retenfix Industrial Seals,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99" s="43" t="str">
        <x:v>Vocês recebem consultas de peças especiais que acabam sem atendimento por prazo, material, quantidade ou ausência de desenho?</x:v>
      </x:c>
      <x:c r="Z99" s="43" t="str">
        <x:v>Este contato foi direcionado a um canal corporativo público por possível aderência entre as atividades das empresas. Para não receber novas mensagens da Parts Seals, responda com REMOVER.</x:v>
      </x:c>
      <x:c r="AA99" s="43" t="str">
        <x:v>Aguardando aprovação</x:v>
      </x:c>
      <x:c r="AB99" s="43" t="str">
        <x:v>Não</x:v>
      </x:c>
      <x:c r="AC99" s="44"/>
      <x:c r="AD99" s="44"/>
      <x:c r="AE99" s="44"/>
      <x:c r="AF99" s="44"/>
      <x:c r="AG99" s="43"/>
      <x:c r="AH99" s="43"/>
      <x:c r="AI99" s="43" t="str">
        <x:v>Não</x:v>
      </x:c>
      <x:c r="AJ99" s="43"/>
      <x:c r="AK99" s="43"/>
      <x:c r="AL99" s="43" t="str">
        <x:v>https://perfildaindustria.portaldaindustria.com.br/estado/tudo/sp</x:v>
      </x:c>
      <x:c r="AM99" s="43" t="str">
        <x:v>https://retenfix.com.br/contato/</x:v>
      </x:c>
      <x:c r="AN99" s="43" t="str">
        <x:v>Pesquise a empresa Retenfix Industrial Seals, de Piracicaba/SP,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99" s="43" t="str">
        <x:v>2026-07-24 v1</x:v>
      </x:c>
    </x:row>
    <x:row r="100" ht="72" customHeight="1">
      <x:c r="A100" s="43" t="n">
        <x:v>99</x:v>
      </x:c>
      <x:c r="B100" s="43" t="str">
        <x:v>SKS Vedações</x:v>
      </x:c>
      <x:c r="C100" s="43" t="str">
        <x:v>Fabricante/Vedações</x:v>
      </x:c>
      <x:c r="D100" s="43" t="str">
        <x:v>Piracicaba</x:v>
      </x:c>
      <x:c r="E100" s="43" t="str">
        <x:v>SP</x:v>
      </x:c>
      <x:c r="F100" s="43" t="str">
        <x:v>Sudeste</x:v>
      </x:c>
      <x:c r="G100" s="43" t="str">
        <x:v>C - Baixa</x:v>
      </x:c>
      <x:c r="H100" s="43" t="str">
        <x:v>Não contatado</x:v>
      </x:c>
      <x:c r="I100" s="43" t="str">
        <x:v>vendas@sksvedacoes.com.br</x:v>
      </x:c>
      <x:c r="J100" s="43" t="str">
        <x:v>https://sksvedacoes.com.br/</x:v>
      </x:c>
      <x:c r="K100" s="43" t="str">
        <x:v>Sim</x:v>
      </x:c>
      <x:c r="L100" s="43" t="str">
        <x:v>fabricante ou transformador especializado em vedações</x:v>
      </x:c>
      <x:c r="M100" s="43" t="str">
        <x:v>açúcar e etanol, máquinas agrícolas, metalmecânico e automotivo</x:v>
      </x:c>
      <x:c r="N100" s="43" t="str">
        <x:v>itens fora de padrão, picos de demanda, protótipos, reposições urgentes e lotes que exigem processo ou material específico</x:v>
      </x:c>
      <x:c r="O100" s="43" t="str">
        <x:v>componentes usinados e moldados em PTFE puro ou carregado, PU, NBR, FKM e materiais técnicos, conforme desenho ou amostra</x:v>
      </x:c>
      <x:c r="P100" s="43" t="str">
        <x:v>atuar como apoio produtivo complementar, preservando a relação comercial de vocês com o cliente final</x:v>
      </x:c>
      <x:c r="Q100" s="43" t="str">
        <x:v>Segmento da base: Fabricante/Vedações; localização: Piracicaba/SP; contexto industrial regional usado apenas como hipótese comercial. Domínio do e-mail coincide com a fonte oficial. Nenhuma afirmação sobre clientes ou aplicações específicas da empresa foi feita sem fonte.</x:v>
      </x:c>
      <x:c r="R100" s="43" t="str">
        <x:v>Alta</x:v>
      </x:c>
      <x:c r="S100" s="43" t="str">
        <x:v>Recomendada</x:v>
      </x:c>
      <x:c r="T100" s="43" t="str">
        <x:v>Itens urgentes ou fora de padrão — SKS Vedações</x:v>
      </x:c>
      <x:c r="U100" s="43" t="str">
        <x:v>Olá, equipe da SKS Vedações,</x:v>
      </x:c>
      <x:c r="V100" s="43" t="str">
        <x:v>Olá, equipe da SKS Vedações,
Gostaria de apresentar uma possibilidade de apoio complementar à SKS Vedações para peças especiais, urgências e reposições fora de catálogo.
Em Piracicaba/SP, cadeias como açúcar e etanol, máquinas agrícolas, metalmecânico e automotivo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PTFE, NBR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00" s="43" t="str">
        <x:v>Olá, equipe da SKS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00" s="43" t="str">
        <x:v>Olá, equipe da SKS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00" s="43" t="str">
        <x:v>Existe hoje algum item especial, urgente ou de baixa quantidade que esteja ocupando capacidade ou ficando sem atendimento?</x:v>
      </x:c>
      <x:c r="Z100" s="43" t="str">
        <x:v>Este contato foi direcionado a um canal corporativo público por possível aderência entre as atividades das empresas. Para não receber novas mensagens da Parts Seals, responda com REMOVER.</x:v>
      </x:c>
      <x:c r="AA100" s="43" t="str">
        <x:v>Aguardando aprovação</x:v>
      </x:c>
      <x:c r="AB100" s="43" t="str">
        <x:v>Não</x:v>
      </x:c>
      <x:c r="AC100" s="44"/>
      <x:c r="AD100" s="44"/>
      <x:c r="AE100" s="44"/>
      <x:c r="AF100" s="44"/>
      <x:c r="AG100" s="43"/>
      <x:c r="AH100" s="43"/>
      <x:c r="AI100" s="43" t="str">
        <x:v>Não</x:v>
      </x:c>
      <x:c r="AJ100" s="43"/>
      <x:c r="AK100" s="43"/>
      <x:c r="AL100" s="43" t="str">
        <x:v>https://perfildaindustria.portaldaindustria.com.br/estado/tudo/sp</x:v>
      </x:c>
      <x:c r="AM100" s="43" t="str">
        <x:v>https://sksvedacoes.com.br/</x:v>
      </x:c>
      <x:c r="AN100" s="43" t="str">
        <x:v>Pesquise a empresa SKS Vedações, de Piracicaba/SP,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00" s="43" t="str">
        <x:v>2026-07-24 v1</x:v>
      </x:c>
    </x:row>
    <x:row r="101" ht="72" customHeight="1">
      <x:c r="A101" s="43" t="n">
        <x:v>100</x:v>
      </x:c>
      <x:c r="B101" s="43" t="str">
        <x:v>TECVED Vedações Industriais</x:v>
      </x:c>
      <x:c r="C101" s="43" t="str">
        <x:v>Vedações</x:v>
      </x:c>
      <x:c r="D101" s="43" t="str">
        <x:v>Piracicaba</x:v>
      </x:c>
      <x:c r="E101" s="43" t="str">
        <x:v>SP</x:v>
      </x:c>
      <x:c r="F101" s="43" t="str">
        <x:v>Sudeste</x:v>
      </x:c>
      <x:c r="G101" s="43" t="str">
        <x:v>Sem dados - qualificar</x:v>
      </x:c>
      <x:c r="H101" s="43" t="str">
        <x:v>Não contatado</x:v>
      </x:c>
      <x:c r="I101" s="43"/>
      <x:c r="J101" s="43" t="str">
        <x:v>Não localizado em fonte pública confiável até 24/07/2026</x:v>
      </x:c>
      <x:c r="K101" s="43" t="str">
        <x:v>Não</x:v>
      </x:c>
      <x:c r="L101" s="43" t="str">
        <x:v>especialista ou revenda de vedações industriais</x:v>
      </x:c>
      <x:c r="M101" s="43" t="str">
        <x:v>açúcar e etanol, máquinas agrícolas, metalmecânico e automotivo</x:v>
      </x:c>
      <x:c r="N101" s="43" t="str">
        <x:v>gaxetas, raspadores, anéis guia, vedações de haste e pistão, retentores especiais e reposições fora de linha</x:v>
      </x:c>
      <x:c r="O101" s="43" t="str">
        <x:v>peças sob medida em PTFE puro ou carregado, poliuretano, NBR, FKM, nylon e outros materiais técnicos</x:v>
      </x:c>
      <x:c r="P101" s="43" t="str">
        <x:v>complementar o portfólio com itens especiais, pequenas e médias séries, urgências e fabricação por desenho ou amostra</x:v>
      </x:c>
      <x:c r="Q101" s="43" t="str">
        <x:v>Segmento da base: Vedações; localização: Piracicaba/SP; contexto industrial regional usado apenas como hipótese comercial. Sem e-mail público localizado. Nenhuma afirmação sobre clientes ou aplicações específicas da empresa foi feita sem fonte.</x:v>
      </x:c>
      <x:c r="R101" s="43" t="str">
        <x:v>Baixa</x:v>
      </x:c>
      <x:c r="S101" s="43" t="str">
        <x:v>Sim</x:v>
      </x:c>
      <x:c r="T101" s="43" t="str">
        <x:v>Peças especiais para complementar o atendimento da TECVED Vedações Industriais</x:v>
      </x:c>
      <x:c r="U101" s="43" t="str">
        <x:v>Olá, equipe da TECVED Vedações Industriais,</x:v>
      </x:c>
      <x:c r="V101" s="43" t="str">
        <x:v>Olá, equipe da TECVED Vedações Industriais,
Estou entrando em contato porque a atuação da TECVED Vedações Industriais em vedações tem boa aderência ao tipo de fabricação especial que realizamos na Parts Seals.
Em Piracicaba/SP, cadeias como açúcar e etanol, máquinas agrícolas, metalmecânico e automotivo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01" s="43" t="str">
        <x:v>Olá, equipe da TECVED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01" s="43" t="str">
        <x:v>Olá, equipe da TECVED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01" s="43" t="str">
        <x:v>Vocês recebem consultas de peças especiais que acabam sem atendimento por prazo, material, quantidade ou ausência de desenho?</x:v>
      </x:c>
      <x:c r="Z101" s="43" t="str">
        <x:v>Este contato foi direcionado a um canal corporativo público por possível aderência entre as atividades das empresas. Para não receber novas mensagens da Parts Seals, responda com REMOVER.</x:v>
      </x:c>
      <x:c r="AA101" s="43" t="str">
        <x:v>Sem e-mail</x:v>
      </x:c>
      <x:c r="AB101" s="43" t="str">
        <x:v>Não</x:v>
      </x:c>
      <x:c r="AC101" s="44"/>
      <x:c r="AD101" s="44"/>
      <x:c r="AE101" s="44"/>
      <x:c r="AF101" s="44"/>
      <x:c r="AG101" s="43"/>
      <x:c r="AH101" s="43"/>
      <x:c r="AI101" s="43" t="str">
        <x:v>Não</x:v>
      </x:c>
      <x:c r="AJ101" s="43"/>
      <x:c r="AK101" s="43"/>
      <x:c r="AL101" s="43" t="str">
        <x:v>https://perfildaindustria.portaldaindustria.com.br/estado/tudo/sp</x:v>
      </x:c>
      <x:c r="AM101" s="43" t="str">
        <x:v>Não localizado em fonte pública confiável até 24/07/2026</x:v>
      </x:c>
      <x:c r="AN101" s="43" t="str">
        <x:v>Pesquise a empresa TECVED Vedações Industriais, de Piracicaba/SP,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01" s="43" t="str">
        <x:v>2026-07-24 v1</x:v>
      </x:c>
    </x:row>
    <x:row r="102" ht="72" customHeight="1">
      <x:c r="A102" s="43" t="n">
        <x:v>101</x:v>
      </x:c>
      <x:c r="B102" s="43" t="str">
        <x:v>Ved System</x:v>
      </x:c>
      <x:c r="C102" s="43" t="str">
        <x:v>Vedações</x:v>
      </x:c>
      <x:c r="D102" s="43" t="str">
        <x:v>Piracicaba</x:v>
      </x:c>
      <x:c r="E102" s="43" t="str">
        <x:v>SP</x:v>
      </x:c>
      <x:c r="F102" s="43" t="str">
        <x:v>Sudeste</x:v>
      </x:c>
      <x:c r="G102" s="43" t="str">
        <x:v>B - Média</x:v>
      </x:c>
      <x:c r="H102" s="43" t="str">
        <x:v>Não contatado</x:v>
      </x:c>
      <x:c r="I102" s="43" t="str">
        <x:v>contato@vedsystem.com.br</x:v>
      </x:c>
      <x:c r="J102" s="43" t="str">
        <x:v>https://vedsystem.com.br/contato/</x:v>
      </x:c>
      <x:c r="K102" s="43" t="str">
        <x:v>Sim</x:v>
      </x:c>
      <x:c r="L102" s="43" t="str">
        <x:v>especialista ou revenda de vedações industriais</x:v>
      </x:c>
      <x:c r="M102" s="43" t="str">
        <x:v>açúcar e etanol, máquinas agrícolas, metalmecânico e automotivo</x:v>
      </x:c>
      <x:c r="N102" s="43" t="str">
        <x:v>gaxetas, raspadores, anéis guia, vedações de haste e pistão, retentores especiais e reposições fora de linha</x:v>
      </x:c>
      <x:c r="O102" s="43" t="str">
        <x:v>peças sob medida em PTFE puro ou carregado, poliuretano, NBR, FKM, nylon e outros materiais técnicos</x:v>
      </x:c>
      <x:c r="P102" s="43" t="str">
        <x:v>complementar o portfólio com itens especiais, pequenas e médias séries, urgências e fabricação por desenho ou amostra</x:v>
      </x:c>
      <x:c r="Q102" s="43" t="str">
        <x:v>Segmento da base: Vedações; localização: Piracicaba/SP; contexto industrial regional usado apenas como hipótese comercial. Domínio do e-mail coincide com a fonte oficial. Nenhuma afirmação sobre clientes ou aplicações específicas da empresa foi feita sem fonte.</x:v>
      </x:c>
      <x:c r="R102" s="43" t="str">
        <x:v>Alta</x:v>
      </x:c>
      <x:c r="S102" s="43" t="str">
        <x:v>Recomendada</x:v>
      </x:c>
      <x:c r="T102" s="43" t="str">
        <x:v>Possível parceria técnica — Ved System e Parts Seals</x:v>
      </x:c>
      <x:c r="U102" s="43" t="str">
        <x:v>Olá, equipe da Ved System,</x:v>
      </x:c>
      <x:c r="V102" s="43" t="str">
        <x:v>Olá, equipe da Ved System,
Ao analisar o perfil da Ved System em Piracicaba, identifiquei uma possibilidade de parceria para demandas de vedação que não se encaixam bem em linhas padronizadas.
Em Piracicaba/SP, cadeias como açúcar e etanol, máquinas agrícolas, metalmecânico e automotivo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02" s="43" t="str">
        <x:v>Olá, equipe da Ved System,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02" s="43" t="str">
        <x:v>Olá, equipe da Ved System,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02" s="43" t="str">
        <x:v>Vocês recebem consultas de peças especiais que acabam sem atendimento por prazo, material, quantidade ou ausência de desenho?</x:v>
      </x:c>
      <x:c r="Z102" s="43" t="str">
        <x:v>Este contato foi direcionado a um canal corporativo público por possível aderência entre as atividades das empresas. Para não receber novas mensagens da Parts Seals, responda com REMOVER.</x:v>
      </x:c>
      <x:c r="AA102" s="43" t="str">
        <x:v>Aguardando aprovação</x:v>
      </x:c>
      <x:c r="AB102" s="43" t="str">
        <x:v>Não</x:v>
      </x:c>
      <x:c r="AC102" s="44"/>
      <x:c r="AD102" s="44"/>
      <x:c r="AE102" s="44"/>
      <x:c r="AF102" s="44"/>
      <x:c r="AG102" s="43"/>
      <x:c r="AH102" s="43"/>
      <x:c r="AI102" s="43" t="str">
        <x:v>Não</x:v>
      </x:c>
      <x:c r="AJ102" s="43"/>
      <x:c r="AK102" s="43"/>
      <x:c r="AL102" s="43" t="str">
        <x:v>https://perfildaindustria.portaldaindustria.com.br/estado/tudo/sp</x:v>
      </x:c>
      <x:c r="AM102" s="43" t="str">
        <x:v>https://vedsystem.com.br/contato/</x:v>
      </x:c>
      <x:c r="AN102" s="43" t="str">
        <x:v>Pesquise a empresa Ved System, de Piracicaba/SP,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02" s="43" t="str">
        <x:v>2026-07-24 v1</x:v>
      </x:c>
    </x:row>
    <x:row r="103" ht="72" customHeight="1">
      <x:c r="A103" s="43" t="n">
        <x:v>102</x:v>
      </x:c>
      <x:c r="B103" s="43" t="str">
        <x:v>FMX Vedações e Retentores Industriais</x:v>
      </x:c>
      <x:c r="C103" s="43" t="str">
        <x:v>Vedações</x:v>
      </x:c>
      <x:c r="D103" s="43" t="str">
        <x:v>Ribeirão Preto</x:v>
      </x:c>
      <x:c r="E103" s="43" t="str">
        <x:v>SP</x:v>
      </x:c>
      <x:c r="F103" s="43" t="str">
        <x:v>Sudeste</x:v>
      </x:c>
      <x:c r="G103" s="43" t="str">
        <x:v>A - Alta</x:v>
      </x:c>
      <x:c r="H103" s="43" t="str">
        <x:v>Não contatado</x:v>
      </x:c>
      <x:c r="I103" s="43" t="str">
        <x:v>contato@fmxvedacoes.com.br</x:v>
      </x:c>
      <x:c r="J103" s="43" t="str">
        <x:v>https://www.fmxvedacoes.com.br/</x:v>
      </x:c>
      <x:c r="K103" s="43" t="str">
        <x:v>Sim</x:v>
      </x:c>
      <x:c r="L103" s="43" t="str">
        <x:v>especialista ou revenda de vedações industriais</x:v>
      </x:c>
      <x:c r="M103" s="43" t="str">
        <x:v>agroindústria, açúcar e etanol, alimentos e manutenção de máquinas</x:v>
      </x:c>
      <x:c r="N103" s="43" t="str">
        <x:v>gaxetas, raspadores, anéis guia, vedações de haste e pistão, retentores especiais e reposições fora de linha</x:v>
      </x:c>
      <x:c r="O103" s="43" t="str">
        <x:v>peças sob medida em PTFE puro ou carregado, poliuretano, NBR, FKM, nylon e outros materiais técnicos</x:v>
      </x:c>
      <x:c r="P103" s="43" t="str">
        <x:v>complementar o portfólio com itens especiais, pequenas e médias séries, urgências e fabricação por desenho ou amostra</x:v>
      </x:c>
      <x:c r="Q103" s="43" t="str">
        <x:v>Segmento da base: Vedações; localização: Ribeirão Preto/SP; contexto industrial regional usado apenas como hipótese comercial. Domínio do e-mail coincide com a fonte oficial. Nenhuma afirmação sobre clientes ou aplicações específicas da empresa foi feita sem fonte.</x:v>
      </x:c>
      <x:c r="R103" s="43" t="str">
        <x:v>Alta</x:v>
      </x:c>
      <x:c r="S103" s="43" t="str">
        <x:v>Recomendada</x:v>
      </x:c>
      <x:c r="T103" s="43" t="str">
        <x:v>Apoio em vedações sob medida para a FMX Vedações e Retentores Industriais</x:v>
      </x:c>
      <x:c r="U103" s="43" t="str">
        <x:v>Olá, equipe da FMX Vedações e Retentores Industriais,</x:v>
      </x:c>
      <x:c r="V103" s="43" t="str">
        <x:v>Olá, equipe da FMX Vedações e Retentores Industriais,
A Parts Seals está ampliando parcerias com empresas técnicas do setor, e o perfil da FMX Vedações e Retentores Industriais chamou nossa atenção pela atuação em vedações.
Em Ribeirão Preto/SP, cadeias como agroindústria, açúcar e etanol, alimentos e manutenção de máquinas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03" s="43" t="str">
        <x:v>Olá, equipe da FMX Vedações e Retentores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03" s="43" t="str">
        <x:v>Olá, equipe da FMX Vedações e Retentores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03" s="43" t="str">
        <x:v>Vocês recebem consultas de peças especiais que acabam sem atendimento por prazo, material, quantidade ou ausência de desenho?</x:v>
      </x:c>
      <x:c r="Z103" s="43" t="str">
        <x:v>Este contato foi direcionado a um canal corporativo público por possível aderência entre as atividades das empresas. Para não receber novas mensagens da Parts Seals, responda com REMOVER.</x:v>
      </x:c>
      <x:c r="AA103" s="43" t="str">
        <x:v>Aguardando aprovação</x:v>
      </x:c>
      <x:c r="AB103" s="43" t="str">
        <x:v>Não</x:v>
      </x:c>
      <x:c r="AC103" s="44"/>
      <x:c r="AD103" s="44"/>
      <x:c r="AE103" s="44"/>
      <x:c r="AF103" s="44"/>
      <x:c r="AG103" s="43"/>
      <x:c r="AH103" s="43"/>
      <x:c r="AI103" s="43" t="str">
        <x:v>Não</x:v>
      </x:c>
      <x:c r="AJ103" s="43"/>
      <x:c r="AK103" s="43"/>
      <x:c r="AL103" s="43" t="str">
        <x:v>https://perfildaindustria.portaldaindustria.com.br/estado/tudo/sp</x:v>
      </x:c>
      <x:c r="AM103" s="43" t="str">
        <x:v>https://www.fmxvedacoes.com.br/</x:v>
      </x:c>
      <x:c r="AN103" s="43" t="str">
        <x:v>Pesquise a empresa FMX Vedações e Retentores Industriais, de Ribeirão Preto/SP,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03" s="43" t="str">
        <x:v>2026-07-24 v1</x:v>
      </x:c>
    </x:row>
    <x:row r="104" ht="72" customHeight="1">
      <x:c r="A104" s="43" t="n">
        <x:v>103</x:v>
      </x:c>
      <x:c r="B104" s="43" t="str">
        <x:v>GSV Rolamentos</x:v>
      </x:c>
      <x:c r="C104" s="43" t="str">
        <x:v>Rolamentos/Vedações</x:v>
      </x:c>
      <x:c r="D104" s="43" t="str">
        <x:v>Ribeirão Preto</x:v>
      </x:c>
      <x:c r="E104" s="43" t="str">
        <x:v>SP</x:v>
      </x:c>
      <x:c r="F104" s="43" t="str">
        <x:v>Sudeste</x:v>
      </x:c>
      <x:c r="G104" s="43" t="str">
        <x:v>A - Alta</x:v>
      </x:c>
      <x:c r="H104" s="43" t="str">
        <x:v>Não contatado</x:v>
      </x:c>
      <x:c r="I104" s="43" t="str">
        <x:v>gsvrolamentos@gsvrolamentos.com.br</x:v>
      </x:c>
      <x:c r="J104" s="43" t="str">
        <x:v>https://www.gsvrolamentos.com.br/contato</x:v>
      </x:c>
      <x:c r="K104" s="43" t="str">
        <x:v>Sim</x:v>
      </x:c>
      <x:c r="L104" s="43" t="str">
        <x:v>distribuidor de rolamentos, retentores e vedações</x:v>
      </x:c>
      <x:c r="M104" s="43" t="str">
        <x:v>agroindústria, açúcar e etanol, alimentos e manutenção de máquinas</x:v>
      </x:c>
      <x:c r="N104" s="43" t="str">
        <x:v>retentores especiais, anéis, vedações rotativas, kits e componentes para manutenção de máquinas</x:v>
      </x:c>
      <x:c r="O104" s="43" t="str">
        <x:v>peças especiais em NBR, FKM, PU e PTFE, inclusive medidas fora de catálogo</x:v>
      </x:c>
      <x:c r="P104" s="43" t="str">
        <x:v>complementar a linha padronizada com reposições especiais e itens descontinuados</x:v>
      </x:c>
      <x:c r="Q104" s="43" t="str">
        <x:v>Segmento da base: Rolamentos/Vedações; localização: Ribeirão Preto/SP; contexto industrial regional usado apenas como hipótese comercial. Domínio do e-mail coincide com a fonte oficial. Nenhuma afirmação sobre clientes ou aplicações específicas da empresa foi feita sem fonte.</x:v>
      </x:c>
      <x:c r="R104" s="43" t="str">
        <x:v>Alta</x:v>
      </x:c>
      <x:c r="S104" s="43" t="str">
        <x:v>Recomendada</x:v>
      </x:c>
      <x:c r="T104" s="43" t="str">
        <x:v>Reposições especiais e itens descontinuados</x:v>
      </x:c>
      <x:c r="U104" s="43" t="str">
        <x:v>Olá, equipe da GSV Rolamentos,</x:v>
      </x:c>
      <x:c r="V104" s="43" t="str">
        <x:v>Olá, equipe da GSV Rolamentos,
Gostaria de apresentar uma possibilidade de apoio complementar à GSV Rolamentos para peças especiais, urgências e reposições fora de catálogo.
Em Ribeirão Preto/SP, cadeias como agroindústria, açúcar e etanol, alimentos e manutenção de máquinas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NBR,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104" s="43" t="str">
        <x:v>Olá, equipe da GSV Rolamentos,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104" s="43" t="str">
        <x:v>Olá, equipe da GSV Rolamentos,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04" s="43" t="str">
        <x:v>Vocês têm pedidos de retentores ou vedações em medidas especiais que não encontram nos catálogos tradicionais?</x:v>
      </x:c>
      <x:c r="Z104" s="43" t="str">
        <x:v>Este contato foi direcionado a um canal corporativo público por possível aderência entre as atividades das empresas. Para não receber novas mensagens da Parts Seals, responda com REMOVER.</x:v>
      </x:c>
      <x:c r="AA104" s="43" t="str">
        <x:v>Aguardando aprovação</x:v>
      </x:c>
      <x:c r="AB104" s="43" t="str">
        <x:v>Não</x:v>
      </x:c>
      <x:c r="AC104" s="44"/>
      <x:c r="AD104" s="44"/>
      <x:c r="AE104" s="44"/>
      <x:c r="AF104" s="44"/>
      <x:c r="AG104" s="43"/>
      <x:c r="AH104" s="43"/>
      <x:c r="AI104" s="43" t="str">
        <x:v>Não</x:v>
      </x:c>
      <x:c r="AJ104" s="43"/>
      <x:c r="AK104" s="43"/>
      <x:c r="AL104" s="43" t="str">
        <x:v>https://perfildaindustria.portaldaindustria.com.br/estado/tudo/sp</x:v>
      </x:c>
      <x:c r="AM104" s="43" t="str">
        <x:v>https://www.gsvrolamentos.com.br/contato</x:v>
      </x:c>
      <x:c r="AN104" s="43" t="str">
        <x:v>Pesquise a empresa GSV Rolamentos, de Ribeirão Preto/SP,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04" s="43" t="str">
        <x:v>2026-07-24 v1</x:v>
      </x:c>
    </x:row>
    <x:row r="105" ht="72" customHeight="1">
      <x:c r="A105" s="43" t="n">
        <x:v>104</x:v>
      </x:c>
      <x:c r="B105" s="43" t="str">
        <x:v>Real Borrachas Vedações</x:v>
      </x:c>
      <x:c r="C105" s="43" t="str">
        <x:v>Vedações</x:v>
      </x:c>
      <x:c r="D105" s="43" t="str">
        <x:v>Ribeirão Preto</x:v>
      </x:c>
      <x:c r="E105" s="43" t="str">
        <x:v>SP</x:v>
      </x:c>
      <x:c r="F105" s="43" t="str">
        <x:v>Sudeste</x:v>
      </x:c>
      <x:c r="G105" s="43" t="str">
        <x:v>B - Média</x:v>
      </x:c>
      <x:c r="H105" s="43" t="str">
        <x:v>Não contatado</x:v>
      </x:c>
      <x:c r="I105" s="43" t="str">
        <x:v>vendas@realborrachasrp.com.br</x:v>
      </x:c>
      <x:c r="J105" s="43" t="str">
        <x:v>https://www.realborrachasrp.com.br/</x:v>
      </x:c>
      <x:c r="K105" s="43" t="str">
        <x:v>Sim</x:v>
      </x:c>
      <x:c r="L105" s="43" t="str">
        <x:v>especialista ou revenda de vedações industriais</x:v>
      </x:c>
      <x:c r="M105" s="43" t="str">
        <x:v>agroindústria, açúcar e etanol, alimentos e manutenção de máquinas</x:v>
      </x:c>
      <x:c r="N105" s="43" t="str">
        <x:v>gaxetas, raspadores, anéis guia, vedações de haste e pistão, retentores especiais e reposições fora de linha</x:v>
      </x:c>
      <x:c r="O105" s="43" t="str">
        <x:v>peças sob medida em PTFE puro ou carregado, poliuretano, NBR, FKM, nylon e outros materiais técnicos</x:v>
      </x:c>
      <x:c r="P105" s="43" t="str">
        <x:v>complementar o portfólio com itens especiais, pequenas e médias séries, urgências e fabricação por desenho ou amostra</x:v>
      </x:c>
      <x:c r="Q105" s="43" t="str">
        <x:v>Segmento da base: Vedações; localização: Ribeirão Preto/SP; contexto industrial regional usado apenas como hipótese comercial. Domínio do e-mail coincide com a fonte oficial. Nenhuma afirmação sobre clientes ou aplicações específicas da empresa foi feita sem fonte.</x:v>
      </x:c>
      <x:c r="R105" s="43" t="str">
        <x:v>Alta</x:v>
      </x:c>
      <x:c r="S105" s="43" t="str">
        <x:v>Recomendada</x:v>
      </x:c>
      <x:c r="T105" s="43" t="str">
        <x:v>Peças especiais para complementar o atendimento da Real Borrachas Vedações</x:v>
      </x:c>
      <x:c r="U105" s="43" t="str">
        <x:v>Olá, equipe da Real Borrachas Vedações,</x:v>
      </x:c>
      <x:c r="V105" s="43" t="str">
        <x:v>Olá, equipe da Real Borrachas Vedações,
Estou entrando em contato porque a atuação da Real Borrachas Vedações em vedações tem boa aderência ao tipo de fabricação especial que realizamos na Parts Seals.
Em Ribeirão Preto/SP, cadeias como agroindústria, açúcar e etanol, alimentos e manutenção de máquinas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05" s="43" t="str">
        <x:v>Olá, equipe da Real Borrachas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05" s="43" t="str">
        <x:v>Olá, equipe da Real Borrachas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05" s="43" t="str">
        <x:v>Vocês recebem consultas de peças especiais que acabam sem atendimento por prazo, material, quantidade ou ausência de desenho?</x:v>
      </x:c>
      <x:c r="Z105" s="43" t="str">
        <x:v>Este contato foi direcionado a um canal corporativo público por possível aderência entre as atividades das empresas. Para não receber novas mensagens da Parts Seals, responda com REMOVER.</x:v>
      </x:c>
      <x:c r="AA105" s="43" t="str">
        <x:v>Aguardando aprovação</x:v>
      </x:c>
      <x:c r="AB105" s="43" t="str">
        <x:v>Não</x:v>
      </x:c>
      <x:c r="AC105" s="44"/>
      <x:c r="AD105" s="44"/>
      <x:c r="AE105" s="44"/>
      <x:c r="AF105" s="44"/>
      <x:c r="AG105" s="43"/>
      <x:c r="AH105" s="43"/>
      <x:c r="AI105" s="43" t="str">
        <x:v>Não</x:v>
      </x:c>
      <x:c r="AJ105" s="43"/>
      <x:c r="AK105" s="43"/>
      <x:c r="AL105" s="43" t="str">
        <x:v>https://perfildaindustria.portaldaindustria.com.br/estado/tudo/sp</x:v>
      </x:c>
      <x:c r="AM105" s="43" t="str">
        <x:v>https://www.realborrachasrp.com.br/</x:v>
      </x:c>
      <x:c r="AN105" s="43" t="str">
        <x:v>Pesquise a empresa Real Borrachas Vedações, de Ribeirão Preto/SP,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05" s="43" t="str">
        <x:v>2026-07-24 v1</x:v>
      </x:c>
    </x:row>
    <x:row r="106" ht="72" customHeight="1">
      <x:c r="A106" s="43" t="n">
        <x:v>105</x:v>
      </x:c>
      <x:c r="B106" s="43" t="str">
        <x:v>Releved Vedações e Rolamentos</x:v>
      </x:c>
      <x:c r="C106" s="43" t="str">
        <x:v>Rolamentos/Vedações</x:v>
      </x:c>
      <x:c r="D106" s="43" t="str">
        <x:v>Ribeirão Preto</x:v>
      </x:c>
      <x:c r="E106" s="43" t="str">
        <x:v>SP</x:v>
      </x:c>
      <x:c r="F106" s="43" t="str">
        <x:v>Sudeste</x:v>
      </x:c>
      <x:c r="G106" s="43" t="str">
        <x:v>A - Alta</x:v>
      </x:c>
      <x:c r="H106" s="43" t="str">
        <x:v>Não contatado</x:v>
      </x:c>
      <x:c r="I106" s="43"/>
      <x:c r="J106" s="43" t="str">
        <x:v>Não localizado em fonte pública confiável até 24/07/2026</x:v>
      </x:c>
      <x:c r="K106" s="43" t="str">
        <x:v>Não</x:v>
      </x:c>
      <x:c r="L106" s="43" t="str">
        <x:v>distribuidor de rolamentos, retentores e vedações</x:v>
      </x:c>
      <x:c r="M106" s="43" t="str">
        <x:v>agroindústria, açúcar e etanol, alimentos e manutenção de máquinas</x:v>
      </x:c>
      <x:c r="N106" s="43" t="str">
        <x:v>retentores especiais, anéis, vedações rotativas, kits e componentes para manutenção de máquinas</x:v>
      </x:c>
      <x:c r="O106" s="43" t="str">
        <x:v>peças especiais em NBR, FKM, PU e PTFE, inclusive medidas fora de catálogo</x:v>
      </x:c>
      <x:c r="P106" s="43" t="str">
        <x:v>complementar a linha padronizada com reposições especiais e itens descontinuados</x:v>
      </x:c>
      <x:c r="Q106" s="43" t="str">
        <x:v>Segmento da base: Rolamentos/Vedações; localização: Ribeirão Preto/SP; contexto industrial regional usado apenas como hipótese comercial. Sem e-mail público localizado. Nenhuma afirmação sobre clientes ou aplicações específicas da empresa foi feita sem fonte.</x:v>
      </x:c>
      <x:c r="R106" s="43" t="str">
        <x:v>Baixa</x:v>
      </x:c>
      <x:c r="S106" s="43" t="str">
        <x:v>Sim</x:v>
      </x:c>
      <x:c r="T106" s="43" t="str">
        <x:v>Medidas fora de catálogo — apoio Parts Seals</x:v>
      </x:c>
      <x:c r="U106" s="43" t="str">
        <x:v>Olá, equipe da Releved Vedações e Rolamentos,</x:v>
      </x:c>
      <x:c r="V106" s="43" t="str">
        <x:v>Olá, equipe da Releved Vedações e Rolamentos,
Ao analisar o perfil da Releved Vedações e Rolamentos em Ribeirão Preto, identifiquei uma possibilidade de parceria para demandas de vedação que não se encaixam bem em linhas padronizadas.
Em Ribeirão Preto/SP, cadeias como agroindústria, açúcar e etanol, alimentos e manutenção de máquinas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NBR,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106" s="43" t="str">
        <x:v>Olá, equipe da Releved Vedações e Rolamentos,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106" s="43" t="str">
        <x:v>Olá, equipe da Releved Vedações e Rolamentos,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06" s="43" t="str">
        <x:v>Vocês têm pedidos de retentores ou vedações em medidas especiais que não encontram nos catálogos tradicionais?</x:v>
      </x:c>
      <x:c r="Z106" s="43" t="str">
        <x:v>Este contato foi direcionado a um canal corporativo público por possível aderência entre as atividades das empresas. Para não receber novas mensagens da Parts Seals, responda com REMOVER.</x:v>
      </x:c>
      <x:c r="AA106" s="43" t="str">
        <x:v>Sem e-mail</x:v>
      </x:c>
      <x:c r="AB106" s="43" t="str">
        <x:v>Não</x:v>
      </x:c>
      <x:c r="AC106" s="44"/>
      <x:c r="AD106" s="44"/>
      <x:c r="AE106" s="44"/>
      <x:c r="AF106" s="44"/>
      <x:c r="AG106" s="43"/>
      <x:c r="AH106" s="43"/>
      <x:c r="AI106" s="43" t="str">
        <x:v>Não</x:v>
      </x:c>
      <x:c r="AJ106" s="43"/>
      <x:c r="AK106" s="43"/>
      <x:c r="AL106" s="43" t="str">
        <x:v>https://perfildaindustria.portaldaindustria.com.br/estado/tudo/sp</x:v>
      </x:c>
      <x:c r="AM106" s="43" t="str">
        <x:v>Não localizado em fonte pública confiável até 24/07/2026</x:v>
      </x:c>
      <x:c r="AN106" s="43" t="str">
        <x:v>Pesquise a empresa Releved Vedações e Rolamentos, de Ribeirão Preto/SP,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06" s="43" t="str">
        <x:v>2026-07-24 v1</x:v>
      </x:c>
    </x:row>
    <x:row r="107" ht="72" customHeight="1">
      <x:c r="A107" s="43" t="n">
        <x:v>106</x:v>
      </x:c>
      <x:c r="B107" s="43" t="str">
        <x:v>Reter Vedações e Serviços</x:v>
      </x:c>
      <x:c r="C107" s="43" t="str">
        <x:v>Fabricante/Vedações</x:v>
      </x:c>
      <x:c r="D107" s="43" t="str">
        <x:v>Ribeirão Preto</x:v>
      </x:c>
      <x:c r="E107" s="43" t="str">
        <x:v>SP</x:v>
      </x:c>
      <x:c r="F107" s="43" t="str">
        <x:v>Sudeste</x:v>
      </x:c>
      <x:c r="G107" s="43" t="str">
        <x:v>C - Baixa</x:v>
      </x:c>
      <x:c r="H107" s="43" t="str">
        <x:v>Não contatado</x:v>
      </x:c>
      <x:c r="I107" s="43" t="str">
        <x:v>reter@reter.com.br</x:v>
      </x:c>
      <x:c r="J107" s="43" t="str">
        <x:v>https://reter.com.br/index.php?pagina=contato</x:v>
      </x:c>
      <x:c r="K107" s="43" t="str">
        <x:v>Sim</x:v>
      </x:c>
      <x:c r="L107" s="43" t="str">
        <x:v>fabricante ou transformador especializado em vedações</x:v>
      </x:c>
      <x:c r="M107" s="43" t="str">
        <x:v>agroindústria, açúcar e etanol, alimentos e manutenção de máquinas</x:v>
      </x:c>
      <x:c r="N107" s="43" t="str">
        <x:v>itens fora de padrão, picos de demanda, protótipos, reposições urgentes e lotes que exigem processo ou material específico</x:v>
      </x:c>
      <x:c r="O107" s="43" t="str">
        <x:v>componentes usinados e moldados em PTFE puro ou carregado, PU, NBR, FKM e materiais técnicos, conforme desenho ou amostra</x:v>
      </x:c>
      <x:c r="P107" s="43" t="str">
        <x:v>atuar como apoio produtivo complementar, preservando a relação comercial de vocês com o cliente final</x:v>
      </x:c>
      <x:c r="Q107" s="43" t="str">
        <x:v>Segmento da base: Fabricante/Vedações; localização: Ribeirão Preto/SP; contexto industrial regional usado apenas como hipótese comercial. Domínio do e-mail coincide com a fonte oficial. Nenhuma afirmação sobre clientes ou aplicações específicas da empresa foi feita sem fonte.</x:v>
      </x:c>
      <x:c r="R107" s="43" t="str">
        <x:v>Alta</x:v>
      </x:c>
      <x:c r="S107" s="43" t="str">
        <x:v>Recomendada</x:v>
      </x:c>
      <x:c r="T107" s="43" t="str">
        <x:v>Capacidade complementar em vedações — Reter Vedações e Serviços</x:v>
      </x:c>
      <x:c r="U107" s="43" t="str">
        <x:v>Olá, equipe da Reter Vedações e Serviços,</x:v>
      </x:c>
      <x:c r="V107" s="43" t="str">
        <x:v>Olá, equipe da Reter Vedações e Serviços,
A Parts Seals está ampliando parcerias com empresas técnicas do setor, e o perfil da Reter Vedações e Serviços chamou nossa atenção pela atuação em fabricante/vedações.
Em Ribeirão Preto/SP, cadeias como agroindústria, açúcar e etanol, alimentos e manutenção de máquinas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07" s="43" t="str">
        <x:v>Olá, equipe da Reter Vedações e Serviços,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07" s="43" t="str">
        <x:v>Olá, equipe da Reter Vedações e Serviços,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07" s="43" t="str">
        <x:v>Existe hoje algum item especial, urgente ou de baixa quantidade que esteja ocupando capacidade ou ficando sem atendimento?</x:v>
      </x:c>
      <x:c r="Z107" s="43" t="str">
        <x:v>Este contato foi direcionado a um canal corporativo público por possível aderência entre as atividades das empresas. Para não receber novas mensagens da Parts Seals, responda com REMOVER.</x:v>
      </x:c>
      <x:c r="AA107" s="43" t="str">
        <x:v>Aguardando aprovação</x:v>
      </x:c>
      <x:c r="AB107" s="43" t="str">
        <x:v>Não</x:v>
      </x:c>
      <x:c r="AC107" s="44"/>
      <x:c r="AD107" s="44"/>
      <x:c r="AE107" s="44"/>
      <x:c r="AF107" s="44"/>
      <x:c r="AG107" s="43"/>
      <x:c r="AH107" s="43"/>
      <x:c r="AI107" s="43" t="str">
        <x:v>Não</x:v>
      </x:c>
      <x:c r="AJ107" s="43"/>
      <x:c r="AK107" s="43"/>
      <x:c r="AL107" s="43" t="str">
        <x:v>https://perfildaindustria.portaldaindustria.com.br/estado/tudo/sp</x:v>
      </x:c>
      <x:c r="AM107" s="43" t="str">
        <x:v>https://reter.com.br/index.php?pagina=contato</x:v>
      </x:c>
      <x:c r="AN107" s="43" t="str">
        <x:v>Pesquise a empresa Reter Vedações e Serviços, de Ribeirão Preto/SP,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07" s="43" t="str">
        <x:v>2026-07-24 v1</x:v>
      </x:c>
    </x:row>
    <x:row r="108" ht="72" customHeight="1">
      <x:c r="A108" s="43" t="n">
        <x:v>107</x:v>
      </x:c>
      <x:c r="B108" s="43" t="str">
        <x:v>Ribeirão Comércio de Retentores</x:v>
      </x:c>
      <x:c r="C108" s="43" t="str">
        <x:v>Vedações</x:v>
      </x:c>
      <x:c r="D108" s="43" t="str">
        <x:v>Ribeirão Preto</x:v>
      </x:c>
      <x:c r="E108" s="43" t="str">
        <x:v>SP</x:v>
      </x:c>
      <x:c r="F108" s="43" t="str">
        <x:v>Sudeste</x:v>
      </x:c>
      <x:c r="G108" s="43" t="str">
        <x:v>C - Baixa</x:v>
      </x:c>
      <x:c r="H108" s="43" t="str">
        <x:v>Não contatado</x:v>
      </x:c>
      <x:c r="I108" s="43"/>
      <x:c r="J108" s="43" t="str">
        <x:v>Não localizado em fonte pública confiável até 24/07/2026</x:v>
      </x:c>
      <x:c r="K108" s="43" t="str">
        <x:v>Não</x:v>
      </x:c>
      <x:c r="L108" s="43" t="str">
        <x:v>especialista ou revenda de vedações industriais</x:v>
      </x:c>
      <x:c r="M108" s="43" t="str">
        <x:v>agroindústria, açúcar e etanol, alimentos e manutenção de máquinas</x:v>
      </x:c>
      <x:c r="N108" s="43" t="str">
        <x:v>gaxetas, raspadores, anéis guia, vedações de haste e pistão, retentores especiais e reposições fora de linha</x:v>
      </x:c>
      <x:c r="O108" s="43" t="str">
        <x:v>peças sob medida em PTFE puro ou carregado, poliuretano, NBR, FKM, nylon e outros materiais técnicos</x:v>
      </x:c>
      <x:c r="P108" s="43" t="str">
        <x:v>complementar o portfólio com itens especiais, pequenas e médias séries, urgências e fabricação por desenho ou amostra</x:v>
      </x:c>
      <x:c r="Q108" s="43" t="str">
        <x:v>Segmento da base: Vedações; localização: Ribeirão Preto/SP; contexto industrial regional usado apenas como hipótese comercial. Sem e-mail público localizado. Nenhuma afirmação sobre clientes ou aplicações específicas da empresa foi feita sem fonte.</x:v>
      </x:c>
      <x:c r="R108" s="43" t="str">
        <x:v>Baixa</x:v>
      </x:c>
      <x:c r="S108" s="43" t="str">
        <x:v>Sim</x:v>
      </x:c>
      <x:c r="T108" s="43" t="str">
        <x:v>Demandas fora de catálogo na Ribeirão Comércio de Retentores</x:v>
      </x:c>
      <x:c r="U108" s="43" t="str">
        <x:v>Olá, equipe da Ribeirão Comércio de Retentores,</x:v>
      </x:c>
      <x:c r="V108" s="43" t="str">
        <x:v>Olá, equipe da Ribeirão Comércio de Retentores,
Gostaria de apresentar uma possibilidade de apoio complementar à Ribeirão Comércio de Retentores para peças especiais, urgências e reposições fora de catálogo.
Em Ribeirão Preto/SP, cadeias como agroindústria, açúcar e etanol, alimentos e manutenção de máquinas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08" s="43" t="str">
        <x:v>Olá, equipe da Ribeirão Comércio de Retentores,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08" s="43" t="str">
        <x:v>Olá, equipe da Ribeirão Comércio de Retentores,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08" s="43" t="str">
        <x:v>Vocês recebem consultas de peças especiais que acabam sem atendimento por prazo, material, quantidade ou ausência de desenho?</x:v>
      </x:c>
      <x:c r="Z108" s="43" t="str">
        <x:v>Este contato foi direcionado a um canal corporativo público por possível aderência entre as atividades das empresas. Para não receber novas mensagens da Parts Seals, responda com REMOVER.</x:v>
      </x:c>
      <x:c r="AA108" s="43" t="str">
        <x:v>Sem e-mail</x:v>
      </x:c>
      <x:c r="AB108" s="43" t="str">
        <x:v>Não</x:v>
      </x:c>
      <x:c r="AC108" s="44"/>
      <x:c r="AD108" s="44"/>
      <x:c r="AE108" s="44"/>
      <x:c r="AF108" s="44"/>
      <x:c r="AG108" s="43"/>
      <x:c r="AH108" s="43"/>
      <x:c r="AI108" s="43" t="str">
        <x:v>Não</x:v>
      </x:c>
      <x:c r="AJ108" s="43"/>
      <x:c r="AK108" s="43"/>
      <x:c r="AL108" s="43" t="str">
        <x:v>https://perfildaindustria.portaldaindustria.com.br/estado/tudo/sp</x:v>
      </x:c>
      <x:c r="AM108" s="43" t="str">
        <x:v>Não localizado em fonte pública confiável até 24/07/2026</x:v>
      </x:c>
      <x:c r="AN108" s="43" t="str">
        <x:v>Pesquise a empresa Ribeirão Comércio de Retentores, de Ribeirão Preto/SP,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08" s="43" t="str">
        <x:v>2026-07-24 v1</x:v>
      </x:c>
    </x:row>
    <x:row r="109" ht="72" customHeight="1">
      <x:c r="A109" s="43" t="n">
        <x:v>108</x:v>
      </x:c>
      <x:c r="B109" s="43" t="str">
        <x:v>VVE Rolamentos e Retentores</x:v>
      </x:c>
      <x:c r="C109" s="43" t="str">
        <x:v>Rolamentos/Vedações</x:v>
      </x:c>
      <x:c r="D109" s="43" t="str">
        <x:v>Ribeirão Preto</x:v>
      </x:c>
      <x:c r="E109" s="43" t="str">
        <x:v>SP</x:v>
      </x:c>
      <x:c r="F109" s="43" t="str">
        <x:v>Sudeste</x:v>
      </x:c>
      <x:c r="G109" s="43" t="str">
        <x:v>A - Alta</x:v>
      </x:c>
      <x:c r="H109" s="43" t="str">
        <x:v>Não contatado</x:v>
      </x:c>
      <x:c r="I109" s="43"/>
      <x:c r="J109" s="43" t="str">
        <x:v>Não localizado em fonte pública confiável até 24/07/2026</x:v>
      </x:c>
      <x:c r="K109" s="43" t="str">
        <x:v>Não</x:v>
      </x:c>
      <x:c r="L109" s="43" t="str">
        <x:v>distribuidor de rolamentos, retentores e vedações</x:v>
      </x:c>
      <x:c r="M109" s="43" t="str">
        <x:v>agroindústria, açúcar e etanol, alimentos e manutenção de máquinas</x:v>
      </x:c>
      <x:c r="N109" s="43" t="str">
        <x:v>retentores especiais, anéis, vedações rotativas, kits e componentes para manutenção de máquinas</x:v>
      </x:c>
      <x:c r="O109" s="43" t="str">
        <x:v>peças especiais em NBR, FKM, PU e PTFE, inclusive medidas fora de catálogo</x:v>
      </x:c>
      <x:c r="P109" s="43" t="str">
        <x:v>complementar a linha padronizada com reposições especiais e itens descontinuados</x:v>
      </x:c>
      <x:c r="Q109" s="43" t="str">
        <x:v>Segmento da base: Rolamentos/Vedações; localização: Ribeirão Preto/SP; contexto industrial regional usado apenas como hipótese comercial. Sem e-mail público localizado. Nenhuma afirmação sobre clientes ou aplicações específicas da empresa foi feita sem fonte.</x:v>
      </x:c>
      <x:c r="R109" s="43" t="str">
        <x:v>Baixa</x:v>
      </x:c>
      <x:c r="S109" s="43" t="str">
        <x:v>Sim</x:v>
      </x:c>
      <x:c r="T109" s="43" t="str">
        <x:v>Retentores e vedações especiais para a VVE Rolamentos e Retentores</x:v>
      </x:c>
      <x:c r="U109" s="43" t="str">
        <x:v>Olá, equipe da VVE Rolamentos e Retentores,</x:v>
      </x:c>
      <x:c r="V109" s="43" t="str">
        <x:v>Olá, equipe da VVE Rolamentos e Retentores,
Estou entrando em contato porque a atuação da VVE Rolamentos e Retentores em rolamentos/vedações tem boa aderência ao tipo de fabricação especial que realizamos na Parts Seals.
Em Ribeirão Preto/SP, cadeias como agroindústria, açúcar e etanol, alimentos e manutenção de máquinas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NBR,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109" s="43" t="str">
        <x:v>Olá, equipe da VVE Rolamentos e Retentores,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109" s="43" t="str">
        <x:v>Olá, equipe da VVE Rolamentos e Retentores,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09" s="43" t="str">
        <x:v>Vocês têm pedidos de retentores ou vedações em medidas especiais que não encontram nos catálogos tradicionais?</x:v>
      </x:c>
      <x:c r="Z109" s="43" t="str">
        <x:v>Este contato foi direcionado a um canal corporativo público por possível aderência entre as atividades das empresas. Para não receber novas mensagens da Parts Seals, responda com REMOVER.</x:v>
      </x:c>
      <x:c r="AA109" s="43" t="str">
        <x:v>Sem e-mail</x:v>
      </x:c>
      <x:c r="AB109" s="43" t="str">
        <x:v>Não</x:v>
      </x:c>
      <x:c r="AC109" s="44"/>
      <x:c r="AD109" s="44"/>
      <x:c r="AE109" s="44"/>
      <x:c r="AF109" s="44"/>
      <x:c r="AG109" s="43"/>
      <x:c r="AH109" s="43"/>
      <x:c r="AI109" s="43" t="str">
        <x:v>Não</x:v>
      </x:c>
      <x:c r="AJ109" s="43"/>
      <x:c r="AK109" s="43"/>
      <x:c r="AL109" s="43" t="str">
        <x:v>https://perfildaindustria.portaldaindustria.com.br/estado/tudo/sp</x:v>
      </x:c>
      <x:c r="AM109" s="43" t="str">
        <x:v>Não localizado em fonte pública confiável até 24/07/2026</x:v>
      </x:c>
      <x:c r="AN109" s="43" t="str">
        <x:v>Pesquise a empresa VVE Rolamentos e Retentores, de Ribeirão Preto/SP,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09" s="43" t="str">
        <x:v>2026-07-24 v1</x:v>
      </x:c>
    </x:row>
    <x:row r="110" ht="72" customHeight="1">
      <x:c r="A110" s="43" t="n">
        <x:v>109</x:v>
      </x:c>
      <x:c r="B110" s="43" t="str">
        <x:v>Perfitecnica Perfis Técnicos de Borracha</x:v>
      </x:c>
      <x:c r="C110" s="43" t="str">
        <x:v>Fabricante</x:v>
      </x:c>
      <x:c r="D110" s="43" t="str">
        <x:v>Salto</x:v>
      </x:c>
      <x:c r="E110" s="43" t="str">
        <x:v>SP</x:v>
      </x:c>
      <x:c r="F110" s="43" t="str">
        <x:v>Sudeste</x:v>
      </x:c>
      <x:c r="G110" s="43" t="str">
        <x:v>B - Média</x:v>
      </x:c>
      <x:c r="H110" s="43" t="str">
        <x:v>Não contatado</x:v>
      </x:c>
      <x:c r="I110" s="43"/>
      <x:c r="J110" s="43" t="str">
        <x:v>Não localizado em fonte pública confiável até 24/07/2026</x:v>
      </x:c>
      <x:c r="K110" s="43" t="str">
        <x:v>Não</x:v>
      </x:c>
      <x:c r="L110" s="43" t="str">
        <x:v>fabricante de componentes industriais</x:v>
      </x:c>
      <x:c r="M110" s="43" t="str">
        <x:v>máquinas, automotivo, químico, alimentos e manutenção industrial</x:v>
      </x:c>
      <x:c r="N110" s="43" t="str">
        <x:v>componentes de vedação, guias, anéis, juntas e peças técnicas integradas ao equipamento</x:v>
      </x:c>
      <x:c r="O110" s="43" t="str">
        <x:v>peças sob desenho em PTFE, PU, NBR, FKM, nylon e materiais técnicos</x:v>
      </x:c>
      <x:c r="P110" s="43" t="str">
        <x:v>fornecer componentes prontos para montagem, inclusive em lotes piloto, reposição e desenvolvimento</x:v>
      </x:c>
      <x:c r="Q110" s="43" t="str">
        <x:v>Segmento da base: Fabricante; localização: Salto/SP; contexto industrial regional usado apenas como hipótese comercial. Sem e-mail público localizado. Nenhuma afirmação sobre clientes ou aplicações específicas da empresa foi feita sem fonte.</x:v>
      </x:c>
      <x:c r="R110" s="43" t="str">
        <x:v>Baixa</x:v>
      </x:c>
      <x:c r="S110" s="43" t="str">
        <x:v>Sim</x:v>
      </x:c>
      <x:c r="T110" s="43" t="str">
        <x:v>Parceria para picos de demanda e peças especiais</x:v>
      </x:c>
      <x:c r="U110" s="43" t="str">
        <x:v>Olá, equipe da Perfitecnica Perfis Técnicos de Borracha,</x:v>
      </x:c>
      <x:c r="V110" s="43" t="str">
        <x:v>Olá, equipe da Perfitecnica Perfis Técnicos de Borracha,
Ao analisar o perfil da Perfitecnica Perfis Técnicos de Borracha em Salto, identifiquei uma possibilidade de parceria para demandas de vedação que não se encaixam bem em linhas padronizadas.
Em Salto/SP, cadeias como máquinas, automotivo, químico, alimentos e manutenção industrial costumam gerar solicitações de vedações especiais, principalmente quando há pressão, desgaste, ataque químico, temperatura ou dificuldade de reposição. Para o perfil de fabricante de componentes industriais, vemos maior aderência em componentes de vedação, guias, anéis, juntas e peças técnicas integradas ao equipamento.
A Parts Seals pode apoiar com peças sob desenho em PTFE, PU, NBR, FKM, nylon e materiais técnicos. A seleção final do material é validada conforme a aplicação; para as demandas mais comuns da região, vale avaliar especialmente PU, NBR, PTFE e FKM. Nosso objetivo é fornecer componentes prontos para montagem, inclusive em lotes piloto, reposição e desenvolvimento.
Há algum componente de vedação que hoje seja comprado como item padronizado, mas que poderia ser otimizado sob desenho?
Posso encaminhar uma apresentação curta ou avaliar um item real, sem compromisso?
Atenciosamente,
{{NOME_REMETENTE}}
Parts Seals Vedações Industriais
{{TELEFONE_REMETENTE}} | {{SITE_REMETENTE}}</x:v>
      </x:c>
      <x:c r="W110" s="43" t="str">
        <x:v>Olá, equipe da Perfitecnica Perfis Técnicos de Borracha,
Retomando meu contato: pelo perfil de fabricante de vocês, acredito que podemos apoiar principalmente em componentes de vedação, guias, anéis, juntas e peças técnicas integradas ao equipamento.
Se tiverem uma medida, desenho ou foto de um item difícil de localizar, podemos fazer uma análise inicial e indicar o material mais adequado. Há algum caso em aberto que possamos avaliar?
Atenciosamente,
{{NOME_REMETENTE}}
Parts Seals Vedações Industriais</x:v>
      </x:c>
      <x:c r="X110" s="43" t="str">
        <x:v>Olá, equipe da Perfitecnica Perfis Técnicos de Borracha,
Encerrando meu contato para não insistir. Caso surja alguma demanda de componentes de vedação, guias, anéis, juntas e peças técnicas integradas ao equipamento,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10" s="43" t="str">
        <x:v>Há algum componente de vedação que hoje seja comprado como item padronizado, mas que poderia ser otimizado sob desenho?</x:v>
      </x:c>
      <x:c r="Z110" s="43" t="str">
        <x:v>Este contato foi direcionado a um canal corporativo público por possível aderência entre as atividades das empresas. Para não receber novas mensagens da Parts Seals, responda com REMOVER.</x:v>
      </x:c>
      <x:c r="AA110" s="43" t="str">
        <x:v>Sem e-mail</x:v>
      </x:c>
      <x:c r="AB110" s="43" t="str">
        <x:v>Não</x:v>
      </x:c>
      <x:c r="AC110" s="44"/>
      <x:c r="AD110" s="44"/>
      <x:c r="AE110" s="44"/>
      <x:c r="AF110" s="44"/>
      <x:c r="AG110" s="43"/>
      <x:c r="AH110" s="43"/>
      <x:c r="AI110" s="43" t="str">
        <x:v>Não</x:v>
      </x:c>
      <x:c r="AJ110" s="43"/>
      <x:c r="AK110" s="43"/>
      <x:c r="AL110" s="43" t="str">
        <x:v>https://perfildaindustria.portaldaindustria.com.br/estado/tudo/sp</x:v>
      </x:c>
      <x:c r="AM110" s="43" t="str">
        <x:v>Não localizado em fonte pública confiável até 24/07/2026</x:v>
      </x:c>
      <x:c r="AN110" s="43" t="str">
        <x:v>Pesquise a empresa Perfitecnica Perfis Técnicos de Borracha, de Salto/SP,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10" s="43" t="str">
        <x:v>2026-07-24 v1</x:v>
      </x:c>
    </x:row>
    <x:row r="111" ht="72" customHeight="1">
      <x:c r="A111" s="43" t="n">
        <x:v>110</x:v>
      </x:c>
      <x:c r="B111" s="43" t="str">
        <x:v>C B A Borrachas Plásticos e Hidráulica</x:v>
      </x:c>
      <x:c r="C111" s="43" t="str">
        <x:v>Hidráulica/Vedações</x:v>
      </x:c>
      <x:c r="D111" s="43" t="str">
        <x:v>Santo André</x:v>
      </x:c>
      <x:c r="E111" s="43" t="str">
        <x:v>SP</x:v>
      </x:c>
      <x:c r="F111" s="43" t="str">
        <x:v>Sudeste</x:v>
      </x:c>
      <x:c r="G111" s="43" t="str">
        <x:v>A - Alta</x:v>
      </x:c>
      <x:c r="H111" s="43" t="str">
        <x:v>Não contatado</x:v>
      </x:c>
      <x:c r="I111" s="43" t="str">
        <x:v>cba@cbaborrachas.com.br</x:v>
      </x:c>
      <x:c r="J111" s="43" t="str">
        <x:v>https://cbaborrachas.com/contato/</x:v>
      </x:c>
      <x:c r="K111" s="43" t="str">
        <x:v>Sim</x:v>
      </x:c>
      <x:c r="L111" s="43" t="str">
        <x:v>fornecedor de componentes hidráulicos e vedações</x:v>
      </x:c>
      <x:c r="M111" s="43" t="str">
        <x:v>petroquímica, metalmecânico, automotivo e manutenção industrial</x:v>
      </x:c>
      <x:c r="N111" s="43" t="str">
        <x:v>gaxetas de haste e pistão, raspadores, anéis guia, vedações rotativas e kits para cilindros hidráulicos</x:v>
      </x:c>
      <x:c r="O111" s="43" t="str">
        <x:v>vedações em PU, PTFE puro ou carregado, NBR e FKM, dimensionadas conforme pressão, velocidade, fluido e temperatura</x:v>
      </x:c>
      <x:c r="P111" s="43" t="str">
        <x:v>apoiar reformas e montagens com peças não padronizadas, reposições antigas e fabricação rápida por amostra ou desenho</x:v>
      </x:c>
      <x:c r="Q111" s="43" t="str">
        <x:v>Segmento da base: Hidráulica/Vedações; localização: Santo André/SP; contexto industrial regional usado apenas como hipótese comercial. Domínio do e-mail coincide com a fonte oficial. Nenhuma afirmação sobre clientes ou aplicações específicas da empresa foi feita sem fonte.</x:v>
      </x:c>
      <x:c r="R111" s="43" t="str">
        <x:v>Alta</x:v>
      </x:c>
      <x:c r="S111" s="43" t="str">
        <x:v>Recomendada</x:v>
      </x:c>
      <x:c r="T111" s="43" t="str">
        <x:v>Gaxetas, raspadores e anéis guia sob medida</x:v>
      </x:c>
      <x:c r="U111" s="43" t="str">
        <x:v>Olá, equipe da C B A Borrachas Plásticos e Hidráulica,</x:v>
      </x:c>
      <x:c r="V111" s="43" t="str">
        <x:v>Olá, equipe da C B A Borrachas Plásticos e Hidráulica,
A Parts Seals está ampliando parcerias com empresas técnicas do setor, e o perfil da C B A Borrachas Plásticos e Hidráulica chamou nossa atenção pela atuação em hidráulica/vedações.
Em Santo André/SP, cadeias como petroquímica, metalmecânico, automotivo e manutenção industrial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PTFE, FKM, PU e NBR.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111" s="43" t="str">
        <x:v>Olá, equipe da C B A Borrachas Plásticos e Hidráulica,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111" s="43" t="str">
        <x:v>Olá, equipe da C B A Borrachas Plásticos e Hidráulica,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11" s="43" t="str">
        <x:v>Há cilindros ou equipamentos para os quais vocês têm dificuldade de localizar a vedação correta ou cumprir o prazo do cliente?</x:v>
      </x:c>
      <x:c r="Z111" s="43" t="str">
        <x:v>Este contato foi direcionado a um canal corporativo público por possível aderência entre as atividades das empresas. Para não receber novas mensagens da Parts Seals, responda com REMOVER.</x:v>
      </x:c>
      <x:c r="AA111" s="43" t="str">
        <x:v>Aguardando aprovação</x:v>
      </x:c>
      <x:c r="AB111" s="43" t="str">
        <x:v>Não</x:v>
      </x:c>
      <x:c r="AC111" s="44"/>
      <x:c r="AD111" s="44"/>
      <x:c r="AE111" s="44"/>
      <x:c r="AF111" s="44"/>
      <x:c r="AG111" s="43"/>
      <x:c r="AH111" s="43"/>
      <x:c r="AI111" s="43" t="str">
        <x:v>Não</x:v>
      </x:c>
      <x:c r="AJ111" s="43"/>
      <x:c r="AK111" s="43"/>
      <x:c r="AL111" s="43" t="str">
        <x:v>https://perfildaindustria.portaldaindustria.com.br/estado/tudo/sp</x:v>
      </x:c>
      <x:c r="AM111" s="43" t="str">
        <x:v>https://cbaborrachas.com/contato/</x:v>
      </x:c>
      <x:c r="AN111" s="43" t="str">
        <x:v>Pesquise a empresa C B A Borrachas Plásticos e Hidráulica, de Santo André/SP,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11" s="43" t="str">
        <x:v>2026-07-24 v1</x:v>
      </x:c>
    </x:row>
    <x:row r="112" ht="72" customHeight="1">
      <x:c r="A112" s="43" t="n">
        <x:v>111</x:v>
      </x:c>
      <x:c r="B112" s="43" t="str">
        <x:v>IET Industrial de Espumas Técnicas</x:v>
      </x:c>
      <x:c r="C112" s="43" t="str">
        <x:v>Fabricante</x:v>
      </x:c>
      <x:c r="D112" s="43" t="str">
        <x:v>Santo André</x:v>
      </x:c>
      <x:c r="E112" s="43" t="str">
        <x:v>SP</x:v>
      </x:c>
      <x:c r="F112" s="43" t="str">
        <x:v>Sudeste</x:v>
      </x:c>
      <x:c r="G112" s="43" t="str">
        <x:v>B - Média</x:v>
      </x:c>
      <x:c r="H112" s="43" t="str">
        <x:v>Não contatado</x:v>
      </x:c>
      <x:c r="I112" s="43" t="str">
        <x:v>iet@ietindustrial.com.br</x:v>
      </x:c>
      <x:c r="J112" s="43" t="str">
        <x:v>https://www.portalnacionaldaindustria.com.br/empresas/iet-industrial-de-espumas-tecnicas</x:v>
      </x:c>
      <x:c r="K112" s="43" t="str">
        <x:v>Sim</x:v>
      </x:c>
      <x:c r="L112" s="43" t="str">
        <x:v>fabricante de componentes industriais</x:v>
      </x:c>
      <x:c r="M112" s="43" t="str">
        <x:v>petroquímica, metalmecânico, automotivo e manutenção industrial</x:v>
      </x:c>
      <x:c r="N112" s="43" t="str">
        <x:v>componentes de vedação, guias, anéis, juntas e peças técnicas integradas ao equipamento</x:v>
      </x:c>
      <x:c r="O112" s="43" t="str">
        <x:v>peças sob desenho em PTFE, PU, NBR, FKM, nylon e materiais técnicos</x:v>
      </x:c>
      <x:c r="P112" s="43" t="str">
        <x:v>fornecer componentes prontos para montagem, inclusive em lotes piloto, reposição e desenvolvimento</x:v>
      </x:c>
      <x:c r="Q112" s="43" t="str">
        <x:v>Segmento da base: Fabricante; localização: Santo André/SP; contexto industrial regional usado apenas como hipótese comercial. Contato publicado em perfil ou diretório institucional. Nenhuma afirmação sobre clientes ou aplicações específicas da empresa foi feita sem fonte.</x:v>
      </x:c>
      <x:c r="R112" s="43" t="str">
        <x:v>Moderada</x:v>
      </x:c>
      <x:c r="S112" s="43" t="str">
        <x:v>Sim</x:v>
      </x:c>
      <x:c r="T112" s="43" t="str">
        <x:v>Itens urgentes ou fora de padrão — IET Industrial de Espumas Técnicas</x:v>
      </x:c>
      <x:c r="U112" s="43" t="str">
        <x:v>Olá, equipe da IET Industrial de Espumas Técnicas,</x:v>
      </x:c>
      <x:c r="V112" s="43" t="str">
        <x:v>Olá, equipe da IET Industrial de Espumas Técnicas,
Gostaria de apresentar uma possibilidade de apoio complementar à IET Industrial de Espumas Técnicas para peças especiais, urgências e reposições fora de catálogo.
Em Santo André/SP, cadeias como petroquímica, metalmecânico, automotivo e manutenção industrial costumam gerar solicitações de vedações especiais, principalmente quando há pressão, desgaste, ataque químico, temperatura ou dificuldade de reposição. Para o perfil de fabricante de componentes industriais, vemos maior aderência em componentes de vedação, guias, anéis, juntas e peças técnicas integradas ao equipamento.
A Parts Seals pode apoiar com peças sob desenho em PTFE, PU, NBR, FKM, nylon e materiais técnicos. A seleção final do material é validada conforme a aplicação; para as demandas mais comuns da região, vale avaliar especialmente PTFE, FKM, PU e NBR. Nosso objetivo é fornecer componentes prontos para montagem, inclusive em lotes piloto, reposição e desenvolvimento.
Há algum componente de vedação que hoje seja comprado como item padronizado, mas que poderia ser otimizado sob desenho?
Posso encaminhar uma apresentação curta ou avaliar um item real, sem compromisso?
Atenciosamente,
{{NOME_REMETENTE}}
Parts Seals Vedações Industriais
{{TELEFONE_REMETENTE}} | {{SITE_REMETENTE}}</x:v>
      </x:c>
      <x:c r="W112" s="43" t="str">
        <x:v>Olá, equipe da IET Industrial de Espumas Técnicas,
Retomando meu contato: pelo perfil de fabricante de vocês, acredito que podemos apoiar principalmente em componentes de vedação, guias, anéis, juntas e peças técnicas integradas ao equipamento.
Se tiverem uma medida, desenho ou foto de um item difícil de localizar, podemos fazer uma análise inicial e indicar o material mais adequado. Há algum caso em aberto que possamos avaliar?
Atenciosamente,
{{NOME_REMETENTE}}
Parts Seals Vedações Industriais</x:v>
      </x:c>
      <x:c r="X112" s="43" t="str">
        <x:v>Olá, equipe da IET Industrial de Espumas Técnicas,
Encerrando meu contato para não insistir. Caso surja alguma demanda de componentes de vedação, guias, anéis, juntas e peças técnicas integradas ao equipamento,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12" s="43" t="str">
        <x:v>Há algum componente de vedação que hoje seja comprado como item padronizado, mas que poderia ser otimizado sob desenho?</x:v>
      </x:c>
      <x:c r="Z112" s="43" t="str">
        <x:v>Este contato foi direcionado a um canal corporativo público por possível aderência entre as atividades das empresas. Para não receber novas mensagens da Parts Seals, responda com REMOVER.</x:v>
      </x:c>
      <x:c r="AA112" s="43" t="str">
        <x:v>Aguardando aprovação</x:v>
      </x:c>
      <x:c r="AB112" s="43" t="str">
        <x:v>Não</x:v>
      </x:c>
      <x:c r="AC112" s="44"/>
      <x:c r="AD112" s="44"/>
      <x:c r="AE112" s="44"/>
      <x:c r="AF112" s="44"/>
      <x:c r="AG112" s="43"/>
      <x:c r="AH112" s="43"/>
      <x:c r="AI112" s="43" t="str">
        <x:v>Não</x:v>
      </x:c>
      <x:c r="AJ112" s="43"/>
      <x:c r="AK112" s="43"/>
      <x:c r="AL112" s="43" t="str">
        <x:v>https://perfildaindustria.portaldaindustria.com.br/estado/tudo/sp</x:v>
      </x:c>
      <x:c r="AM112" s="43" t="str">
        <x:v>https://www.portalnacionaldaindustria.com.br/empresas/iet-industrial-de-espumas-tecnicas</x:v>
      </x:c>
      <x:c r="AN112" s="43" t="str">
        <x:v>Pesquise a empresa IET Industrial de Espumas Técnicas, de Santo André/SP,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12" s="43" t="str">
        <x:v>2026-07-24 v1</x:v>
      </x:c>
    </x:row>
    <x:row r="113" ht="72" customHeight="1">
      <x:c r="A113" s="43" t="n">
        <x:v>112</x:v>
      </x:c>
      <x:c r="B113" s="43" t="str">
        <x:v>Vedasan Vedações Santista</x:v>
      </x:c>
      <x:c r="C113" s="43" t="str">
        <x:v>Vedações</x:v>
      </x:c>
      <x:c r="D113" s="43" t="str">
        <x:v>Santos</x:v>
      </x:c>
      <x:c r="E113" s="43" t="str">
        <x:v>SP</x:v>
      </x:c>
      <x:c r="F113" s="43" t="str">
        <x:v>Sudeste</x:v>
      </x:c>
      <x:c r="G113" s="43" t="str">
        <x:v>A - Alta</x:v>
      </x:c>
      <x:c r="H113" s="43" t="str">
        <x:v>Não contatado</x:v>
      </x:c>
      <x:c r="I113" s="43" t="str">
        <x:v>vedasan@vedasan.com.br</x:v>
      </x:c>
      <x:c r="J113" s="43" t="str">
        <x:v>https://vedasan.com.br/site/contatos/</x:v>
      </x:c>
      <x:c r="K113" s="43" t="str">
        <x:v>Sim</x:v>
      </x:c>
      <x:c r="L113" s="43" t="str">
        <x:v>especialista ou revenda de vedações industriais</x:v>
      </x:c>
      <x:c r="M113" s="43" t="str">
        <x:v>operações portuárias, logística, petroquímica e manutenção naval</x:v>
      </x:c>
      <x:c r="N113" s="43" t="str">
        <x:v>gaxetas, raspadores, anéis guia, vedações de haste e pistão, retentores especiais e reposições fora de linha</x:v>
      </x:c>
      <x:c r="O113" s="43" t="str">
        <x:v>peças sob medida em PTFE puro ou carregado, poliuretano, NBR, FKM, nylon e outros materiais técnicos</x:v>
      </x:c>
      <x:c r="P113" s="43" t="str">
        <x:v>complementar o portfólio com itens especiais, pequenas e médias séries, urgências e fabricação por desenho ou amostra</x:v>
      </x:c>
      <x:c r="Q113" s="43" t="str">
        <x:v>Segmento da base: Vedações; localização: Santos/SP; contexto industrial regional usado apenas como hipótese comercial. Domínio do e-mail coincide com a fonte oficial. Nenhuma afirmação sobre clientes ou aplicações específicas da empresa foi feita sem fonte.</x:v>
      </x:c>
      <x:c r="R113" s="43" t="str">
        <x:v>Alta</x:v>
      </x:c>
      <x:c r="S113" s="43" t="str">
        <x:v>Recomendada</x:v>
      </x:c>
      <x:c r="T113" s="43" t="str">
        <x:v>Peças especiais para complementar o atendimento da Vedasan Vedações Santista</x:v>
      </x:c>
      <x:c r="U113" s="43" t="str">
        <x:v>Olá, equipe da Vedasan Vedações Santista,</x:v>
      </x:c>
      <x:c r="V113" s="43" t="str">
        <x:v>Olá, equipe da Vedasan Vedações Santista,
Estou entrando em contato porque a atuação da Vedasan Vedações Santista em vedações tem boa aderência ao tipo de fabricação especial que realizamos na Parts Seals.
Em Santos/SP, cadeias como operações portuárias, logística, petroquímica e manutenção naval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FKM, PU e NBR.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13" s="43" t="str">
        <x:v>Olá, equipe da Vedasan Vedações Santista,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13" s="43" t="str">
        <x:v>Olá, equipe da Vedasan Vedações Santista,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13" s="43" t="str">
        <x:v>Vocês recebem consultas de peças especiais que acabam sem atendimento por prazo, material, quantidade ou ausência de desenho?</x:v>
      </x:c>
      <x:c r="Z113" s="43" t="str">
        <x:v>Este contato foi direcionado a um canal corporativo público por possível aderência entre as atividades das empresas. Para não receber novas mensagens da Parts Seals, responda com REMOVER.</x:v>
      </x:c>
      <x:c r="AA113" s="43" t="str">
        <x:v>Aguardando aprovação</x:v>
      </x:c>
      <x:c r="AB113" s="43" t="str">
        <x:v>Não</x:v>
      </x:c>
      <x:c r="AC113" s="44"/>
      <x:c r="AD113" s="44"/>
      <x:c r="AE113" s="44"/>
      <x:c r="AF113" s="44"/>
      <x:c r="AG113" s="43"/>
      <x:c r="AH113" s="43"/>
      <x:c r="AI113" s="43" t="str">
        <x:v>Não</x:v>
      </x:c>
      <x:c r="AJ113" s="43"/>
      <x:c r="AK113" s="43"/>
      <x:c r="AL113" s="43" t="str">
        <x:v>https://perfildaindustria.portaldaindustria.com.br/estado/tudo/sp</x:v>
      </x:c>
      <x:c r="AM113" s="43" t="str">
        <x:v>https://vedasan.com.br/site/contatos/</x:v>
      </x:c>
      <x:c r="AN113" s="43" t="str">
        <x:v>Pesquise a empresa Vedasan Vedações Santista, de Santos/SP,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13" s="43" t="str">
        <x:v>2026-07-24 v1</x:v>
      </x:c>
    </x:row>
    <x:row r="114" ht="72" customHeight="1">
      <x:c r="A114" s="43" t="n">
        <x:v>113</x:v>
      </x:c>
      <x:c r="B114" s="43" t="str">
        <x:v>RDC Rolamentos e Vedações</x:v>
      </x:c>
      <x:c r="C114" s="43" t="str">
        <x:v>Rolamentos/Vedações</x:v>
      </x:c>
      <x:c r="D114" s="43" t="str">
        <x:v>Sertãozinho</x:v>
      </x:c>
      <x:c r="E114" s="43" t="str">
        <x:v>SP</x:v>
      </x:c>
      <x:c r="F114" s="43" t="str">
        <x:v>Sudeste</x:v>
      </x:c>
      <x:c r="G114" s="43" t="str">
        <x:v>C - Baixa</x:v>
      </x:c>
      <x:c r="H114" s="43" t="str">
        <x:v>Não contatado</x:v>
      </x:c>
      <x:c r="I114" s="43"/>
      <x:c r="J114" s="43" t="str">
        <x:v>Não localizado em fonte pública confiável até 24/07/2026</x:v>
      </x:c>
      <x:c r="K114" s="43" t="str">
        <x:v>Não</x:v>
      </x:c>
      <x:c r="L114" s="43" t="str">
        <x:v>distribuidor de rolamentos, retentores e vedações</x:v>
      </x:c>
      <x:c r="M114" s="43" t="str">
        <x:v>açúcar e etanol, bombas, válvulas, caldeiraria e máquinas pesadas</x:v>
      </x:c>
      <x:c r="N114" s="43" t="str">
        <x:v>retentores especiais, anéis, vedações rotativas, kits e componentes para manutenção de máquinas</x:v>
      </x:c>
      <x:c r="O114" s="43" t="str">
        <x:v>peças especiais em NBR, FKM, PU e PTFE, inclusive medidas fora de catálogo</x:v>
      </x:c>
      <x:c r="P114" s="43" t="str">
        <x:v>complementar a linha padronizada com reposições especiais e itens descontinuados</x:v>
      </x:c>
      <x:c r="Q114" s="43" t="str">
        <x:v>Segmento da base: Rolamentos/Vedações; localização: Sertãozinho/SP; contexto industrial regional usado apenas como hipótese comercial. Sem e-mail público localizado. Nenhuma afirmação sobre clientes ou aplicações específicas da empresa foi feita sem fonte.</x:v>
      </x:c>
      <x:c r="R114" s="43" t="str">
        <x:v>Baixa</x:v>
      </x:c>
      <x:c r="S114" s="43" t="str">
        <x:v>Sim</x:v>
      </x:c>
      <x:c r="T114" s="43" t="str">
        <x:v>Medidas fora de catálogo — apoio Parts Seals</x:v>
      </x:c>
      <x:c r="U114" s="43" t="str">
        <x:v>Olá, equipe da RDC Rolamentos e Vedações,</x:v>
      </x:c>
      <x:c r="V114" s="43" t="str">
        <x:v>Olá, equipe da RDC Rolamentos e Vedações,
Ao analisar o perfil da RDC Rolamentos e Vedações em Sertãozinho, identifiquei uma possibilidade de parceria para demandas de vedação que não se encaixam bem em linhas padronizadas.
Em Sertãozinho/SP, cadeias como açúcar e etanol, bombas, válvulas, caldeiraria e máquinas pesadas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PTFE, NBR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114" s="43" t="str">
        <x:v>Olá, equipe da RDC Rolamentos e Vedações,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114" s="43" t="str">
        <x:v>Olá, equipe da RDC Rolamentos e Vedações,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14" s="43" t="str">
        <x:v>Vocês têm pedidos de retentores ou vedações em medidas especiais que não encontram nos catálogos tradicionais?</x:v>
      </x:c>
      <x:c r="Z114" s="43" t="str">
        <x:v>Este contato foi direcionado a um canal corporativo público por possível aderência entre as atividades das empresas. Para não receber novas mensagens da Parts Seals, responda com REMOVER.</x:v>
      </x:c>
      <x:c r="AA114" s="43" t="str">
        <x:v>Sem e-mail</x:v>
      </x:c>
      <x:c r="AB114" s="43" t="str">
        <x:v>Não</x:v>
      </x:c>
      <x:c r="AC114" s="44"/>
      <x:c r="AD114" s="44"/>
      <x:c r="AE114" s="44"/>
      <x:c r="AF114" s="44"/>
      <x:c r="AG114" s="43"/>
      <x:c r="AH114" s="43"/>
      <x:c r="AI114" s="43" t="str">
        <x:v>Não</x:v>
      </x:c>
      <x:c r="AJ114" s="43"/>
      <x:c r="AK114" s="43"/>
      <x:c r="AL114" s="43" t="str">
        <x:v>https://perfildaindustria.portaldaindustria.com.br/estado/tudo/sp</x:v>
      </x:c>
      <x:c r="AM114" s="43" t="str">
        <x:v>Não localizado em fonte pública confiável até 24/07/2026</x:v>
      </x:c>
      <x:c r="AN114" s="43" t="str">
        <x:v>Pesquise a empresa RDC Rolamentos e Vedações, de Sertãozinho/SP,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14" s="43" t="str">
        <x:v>2026-07-24 v1</x:v>
      </x:c>
    </x:row>
    <x:row r="115" ht="72" customHeight="1">
      <x:c r="A115" s="43" t="n">
        <x:v>114</x:v>
      </x:c>
      <x:c r="B115" s="43" t="str">
        <x:v>Racil Vedações</x:v>
      </x:c>
      <x:c r="C115" s="43" t="str">
        <x:v>Fabricante/Vedações</x:v>
      </x:c>
      <x:c r="D115" s="43" t="str">
        <x:v>Sertãozinho</x:v>
      </x:c>
      <x:c r="E115" s="43" t="str">
        <x:v>SP</x:v>
      </x:c>
      <x:c r="F115" s="43" t="str">
        <x:v>Sudeste</x:v>
      </x:c>
      <x:c r="G115" s="43" t="str">
        <x:v>Sem dados - qualificar</x:v>
      </x:c>
      <x:c r="H115" s="43" t="str">
        <x:v>Não contatado</x:v>
      </x:c>
      <x:c r="I115" s="43"/>
      <x:c r="J115" s="43" t="str">
        <x:v>Não localizado em fonte pública confiável até 24/07/2026</x:v>
      </x:c>
      <x:c r="K115" s="43" t="str">
        <x:v>Não</x:v>
      </x:c>
      <x:c r="L115" s="43" t="str">
        <x:v>fabricante ou transformador especializado em vedações</x:v>
      </x:c>
      <x:c r="M115" s="43" t="str">
        <x:v>açúcar e etanol, bombas, válvulas, caldeiraria e máquinas pesadas</x:v>
      </x:c>
      <x:c r="N115" s="43" t="str">
        <x:v>itens fora de padrão, picos de demanda, protótipos, reposições urgentes e lotes que exigem processo ou material específico</x:v>
      </x:c>
      <x:c r="O115" s="43" t="str">
        <x:v>componentes usinados e moldados em PTFE puro ou carregado, PU, NBR, FKM e materiais técnicos, conforme desenho ou amostra</x:v>
      </x:c>
      <x:c r="P115" s="43" t="str">
        <x:v>atuar como apoio produtivo complementar, preservando a relação comercial de vocês com o cliente final</x:v>
      </x:c>
      <x:c r="Q115" s="43" t="str">
        <x:v>Segmento da base: Fabricante/Vedações; localização: Sertãozinho/SP; contexto industrial regional usado apenas como hipótese comercial. Sem e-mail público localizado. Nenhuma afirmação sobre clientes ou aplicações específicas da empresa foi feita sem fonte.</x:v>
      </x:c>
      <x:c r="R115" s="43" t="str">
        <x:v>Baixa</x:v>
      </x:c>
      <x:c r="S115" s="43" t="str">
        <x:v>Sim</x:v>
      </x:c>
      <x:c r="T115" s="43" t="str">
        <x:v>Capacidade complementar em vedações — Racil Vedações</x:v>
      </x:c>
      <x:c r="U115" s="43" t="str">
        <x:v>Olá, equipe da Racil Vedações,</x:v>
      </x:c>
      <x:c r="V115" s="43" t="str">
        <x:v>Olá, equipe da Racil Vedações,
A Parts Seals está ampliando parcerias com empresas técnicas do setor, e o perfil da Racil Vedações chamou nossa atenção pela atuação em fabricante/vedações.
Em Sertãozinho/SP, cadeias como açúcar e etanol, bombas, válvulas, caldeiraria e máquinas pesadas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PTFE, NBR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15" s="43" t="str">
        <x:v>Olá, equipe da Racil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15" s="43" t="str">
        <x:v>Olá, equipe da Racil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15" s="43" t="str">
        <x:v>Existe hoje algum item especial, urgente ou de baixa quantidade que esteja ocupando capacidade ou ficando sem atendimento?</x:v>
      </x:c>
      <x:c r="Z115" s="43" t="str">
        <x:v>Este contato foi direcionado a um canal corporativo público por possível aderência entre as atividades das empresas. Para não receber novas mensagens da Parts Seals, responda com REMOVER.</x:v>
      </x:c>
      <x:c r="AA115" s="43" t="str">
        <x:v>Sem e-mail</x:v>
      </x:c>
      <x:c r="AB115" s="43" t="str">
        <x:v>Não</x:v>
      </x:c>
      <x:c r="AC115" s="44"/>
      <x:c r="AD115" s="44"/>
      <x:c r="AE115" s="44"/>
      <x:c r="AF115" s="44"/>
      <x:c r="AG115" s="43"/>
      <x:c r="AH115" s="43"/>
      <x:c r="AI115" s="43" t="str">
        <x:v>Não</x:v>
      </x:c>
      <x:c r="AJ115" s="43"/>
      <x:c r="AK115" s="43"/>
      <x:c r="AL115" s="43" t="str">
        <x:v>https://perfildaindustria.portaldaindustria.com.br/estado/tudo/sp</x:v>
      </x:c>
      <x:c r="AM115" s="43" t="str">
        <x:v>Não localizado em fonte pública confiável até 24/07/2026</x:v>
      </x:c>
      <x:c r="AN115" s="43" t="str">
        <x:v>Pesquise a empresa Racil Vedações, de Sertãozinho/SP,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15" s="43" t="str">
        <x:v>2026-07-24 v1</x:v>
      </x:c>
    </x:row>
    <x:row r="116" ht="72" customHeight="1">
      <x:c r="A116" s="43" t="n">
        <x:v>115</x:v>
      </x:c>
      <x:c r="B116" s="43" t="str">
        <x:v>Selo Seal - Vedações Dinâmicas</x:v>
      </x:c>
      <x:c r="C116" s="43" t="str">
        <x:v>Fabricante/Vedações</x:v>
      </x:c>
      <x:c r="D116" s="43" t="str">
        <x:v>Sertãozinho</x:v>
      </x:c>
      <x:c r="E116" s="43" t="str">
        <x:v>SP</x:v>
      </x:c>
      <x:c r="F116" s="43" t="str">
        <x:v>Sudeste</x:v>
      </x:c>
      <x:c r="G116" s="43" t="str">
        <x:v>C - Baixa</x:v>
      </x:c>
      <x:c r="H116" s="43" t="str">
        <x:v>Não contatado</x:v>
      </x:c>
      <x:c r="I116" s="43"/>
      <x:c r="J116" s="43" t="str">
        <x:v>Não localizado em fonte pública confiável até 24/07/2026</x:v>
      </x:c>
      <x:c r="K116" s="43" t="str">
        <x:v>Não</x:v>
      </x:c>
      <x:c r="L116" s="43" t="str">
        <x:v>fabricante ou transformador especializado em vedações</x:v>
      </x:c>
      <x:c r="M116" s="43" t="str">
        <x:v>açúcar e etanol, bombas, válvulas, caldeiraria e máquinas pesadas</x:v>
      </x:c>
      <x:c r="N116" s="43" t="str">
        <x:v>itens fora de padrão, picos de demanda, protótipos, reposições urgentes e lotes que exigem processo ou material específico</x:v>
      </x:c>
      <x:c r="O116" s="43" t="str">
        <x:v>componentes usinados e moldados em PTFE puro ou carregado, PU, NBR, FKM e materiais técnicos, conforme desenho ou amostra</x:v>
      </x:c>
      <x:c r="P116" s="43" t="str">
        <x:v>atuar como apoio produtivo complementar, preservando a relação comercial de vocês com o cliente final</x:v>
      </x:c>
      <x:c r="Q116" s="43" t="str">
        <x:v>Segmento da base: Fabricante/Vedações; localização: Sertãozinho/SP; contexto industrial regional usado apenas como hipótese comercial. Sem e-mail público localizado. Nenhuma afirmação sobre clientes ou aplicações específicas da empresa foi feita sem fonte.</x:v>
      </x:c>
      <x:c r="R116" s="43" t="str">
        <x:v>Baixa</x:v>
      </x:c>
      <x:c r="S116" s="43" t="str">
        <x:v>Sim</x:v>
      </x:c>
      <x:c r="T116" s="43" t="str">
        <x:v>Itens urgentes ou fora de padrão — Selo Seal - Vedações Dinâmicas</x:v>
      </x:c>
      <x:c r="U116" s="43" t="str">
        <x:v>Olá, equipe da Selo Seal - Vedações Dinâmicas,</x:v>
      </x:c>
      <x:c r="V116" s="43" t="str">
        <x:v>Olá, equipe da Selo Seal - Vedações Dinâmicas,
Gostaria de apresentar uma possibilidade de apoio complementar à Selo Seal - Vedações Dinâmicas para peças especiais, urgências e reposições fora de catálogo.
Em Sertãozinho/SP, cadeias como açúcar e etanol, bombas, válvulas, caldeiraria e máquinas pesadas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PTFE, NBR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16" s="43" t="str">
        <x:v>Olá, equipe da Selo Seal - Vedações Dinâmicas,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16" s="43" t="str">
        <x:v>Olá, equipe da Selo Seal - Vedações Dinâmicas,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16" s="43" t="str">
        <x:v>Existe hoje algum item especial, urgente ou de baixa quantidade que esteja ocupando capacidade ou ficando sem atendimento?</x:v>
      </x:c>
      <x:c r="Z116" s="43" t="str">
        <x:v>Este contato foi direcionado a um canal corporativo público por possível aderência entre as atividades das empresas. Para não receber novas mensagens da Parts Seals, responda com REMOVER.</x:v>
      </x:c>
      <x:c r="AA116" s="43" t="str">
        <x:v>Sem e-mail</x:v>
      </x:c>
      <x:c r="AB116" s="43" t="str">
        <x:v>Não</x:v>
      </x:c>
      <x:c r="AC116" s="44"/>
      <x:c r="AD116" s="44"/>
      <x:c r="AE116" s="44"/>
      <x:c r="AF116" s="44"/>
      <x:c r="AG116" s="43"/>
      <x:c r="AH116" s="43"/>
      <x:c r="AI116" s="43" t="str">
        <x:v>Não</x:v>
      </x:c>
      <x:c r="AJ116" s="43"/>
      <x:c r="AK116" s="43"/>
      <x:c r="AL116" s="43" t="str">
        <x:v>https://perfildaindustria.portaldaindustria.com.br/estado/tudo/sp</x:v>
      </x:c>
      <x:c r="AM116" s="43" t="str">
        <x:v>Não localizado em fonte pública confiável até 24/07/2026</x:v>
      </x:c>
      <x:c r="AN116" s="43" t="str">
        <x:v>Pesquise a empresa Selo Seal - Vedações Dinâmicas, de Sertãozinho/SP,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16" s="43" t="str">
        <x:v>2026-07-24 v1</x:v>
      </x:c>
    </x:row>
    <x:row r="117" ht="72" customHeight="1">
      <x:c r="A117" s="43" t="n">
        <x:v>116</x:v>
      </x:c>
      <x:c r="B117" s="43" t="str">
        <x:v>Sertved Vedações Industriais</x:v>
      </x:c>
      <x:c r="C117" s="43" t="str">
        <x:v>Vedações</x:v>
      </x:c>
      <x:c r="D117" s="43" t="str">
        <x:v>Sertãozinho</x:v>
      </x:c>
      <x:c r="E117" s="43" t="str">
        <x:v>SP</x:v>
      </x:c>
      <x:c r="F117" s="43" t="str">
        <x:v>Sudeste</x:v>
      </x:c>
      <x:c r="G117" s="43" t="str">
        <x:v>B - Média</x:v>
      </x:c>
      <x:c r="H117" s="43" t="str">
        <x:v>Não contatado</x:v>
      </x:c>
      <x:c r="I117" s="43" t="str">
        <x:v>vendas1@sertved.com.br</x:v>
      </x:c>
      <x:c r="J117" s="43" t="str">
        <x:v>https://sertved.com.br/</x:v>
      </x:c>
      <x:c r="K117" s="43" t="str">
        <x:v>Sim</x:v>
      </x:c>
      <x:c r="L117" s="43" t="str">
        <x:v>especialista ou revenda de vedações industriais</x:v>
      </x:c>
      <x:c r="M117" s="43" t="str">
        <x:v>açúcar e etanol, bombas, válvulas, caldeiraria e máquinas pesadas</x:v>
      </x:c>
      <x:c r="N117" s="43" t="str">
        <x:v>gaxetas, raspadores, anéis guia, vedações de haste e pistão, retentores especiais e reposições fora de linha</x:v>
      </x:c>
      <x:c r="O117" s="43" t="str">
        <x:v>peças sob medida em PTFE puro ou carregado, poliuretano, NBR, FKM, nylon e outros materiais técnicos</x:v>
      </x:c>
      <x:c r="P117" s="43" t="str">
        <x:v>complementar o portfólio com itens especiais, pequenas e médias séries, urgências e fabricação por desenho ou amostra</x:v>
      </x:c>
      <x:c r="Q117" s="43" t="str">
        <x:v>Segmento da base: Vedações; localização: Sertãozinho/SP; contexto industrial regional usado apenas como hipótese comercial. Domínio do e-mail coincide com a fonte oficial. Nenhuma afirmação sobre clientes ou aplicações específicas da empresa foi feita sem fonte.</x:v>
      </x:c>
      <x:c r="R117" s="43" t="str">
        <x:v>Alta</x:v>
      </x:c>
      <x:c r="S117" s="43" t="str">
        <x:v>Recomendada</x:v>
      </x:c>
      <x:c r="T117" s="43" t="str">
        <x:v>Peças especiais para complementar o atendimento da Sertved Vedações Industriais</x:v>
      </x:c>
      <x:c r="U117" s="43" t="str">
        <x:v>Olá, equipe da Sertved Vedações Industriais,</x:v>
      </x:c>
      <x:c r="V117" s="43" t="str">
        <x:v>Olá, equipe da Sertved Vedações Industriais,
Estou entrando em contato porque a atuação da Sertved Vedações Industriais em vedações tem boa aderência ao tipo de fabricação especial que realizamos na Parts Seals.
Em Sertãozinho/SP, cadeias como açúcar e etanol, bombas, válvulas, caldeiraria e máquinas pesadas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17" s="43" t="str">
        <x:v>Olá, equipe da Sertved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17" s="43" t="str">
        <x:v>Olá, equipe da Sertved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17" s="43" t="str">
        <x:v>Vocês recebem consultas de peças especiais que acabam sem atendimento por prazo, material, quantidade ou ausência de desenho?</x:v>
      </x:c>
      <x:c r="Z117" s="43" t="str">
        <x:v>Este contato foi direcionado a um canal corporativo público por possível aderência entre as atividades das empresas. Para não receber novas mensagens da Parts Seals, responda com REMOVER.</x:v>
      </x:c>
      <x:c r="AA117" s="43" t="str">
        <x:v>Aguardando aprovação</x:v>
      </x:c>
      <x:c r="AB117" s="43" t="str">
        <x:v>Não</x:v>
      </x:c>
      <x:c r="AC117" s="44"/>
      <x:c r="AD117" s="44"/>
      <x:c r="AE117" s="44"/>
      <x:c r="AF117" s="44"/>
      <x:c r="AG117" s="43"/>
      <x:c r="AH117" s="43"/>
      <x:c r="AI117" s="43" t="str">
        <x:v>Não</x:v>
      </x:c>
      <x:c r="AJ117" s="43"/>
      <x:c r="AK117" s="43"/>
      <x:c r="AL117" s="43" t="str">
        <x:v>https://perfildaindustria.portaldaindustria.com.br/estado/tudo/sp</x:v>
      </x:c>
      <x:c r="AM117" s="43" t="str">
        <x:v>https://sertved.com.br/</x:v>
      </x:c>
      <x:c r="AN117" s="43" t="str">
        <x:v>Pesquise a empresa Sertved Vedações Industriais, de Sertãozinho/SP,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17" s="43" t="str">
        <x:v>2026-07-24 v1</x:v>
      </x:c>
    </x:row>
    <x:row r="118" ht="72" customHeight="1">
      <x:c r="A118" s="43" t="n">
        <x:v>117</x:v>
      </x:c>
      <x:c r="B118" s="43" t="str">
        <x:v>Usina Vedações</x:v>
      </x:c>
      <x:c r="C118" s="43" t="str">
        <x:v>Vedações</x:v>
      </x:c>
      <x:c r="D118" s="43" t="str">
        <x:v>Sertãozinho</x:v>
      </x:c>
      <x:c r="E118" s="43" t="str">
        <x:v>SP</x:v>
      </x:c>
      <x:c r="F118" s="43" t="str">
        <x:v>Sudeste</x:v>
      </x:c>
      <x:c r="G118" s="43" t="str">
        <x:v>B - Média</x:v>
      </x:c>
      <x:c r="H118" s="43" t="str">
        <x:v>Não contatado</x:v>
      </x:c>
      <x:c r="I118" s="43"/>
      <x:c r="J118" s="43" t="str">
        <x:v>Não localizado em fonte pública confiável até 24/07/2026</x:v>
      </x:c>
      <x:c r="K118" s="43" t="str">
        <x:v>Não</x:v>
      </x:c>
      <x:c r="L118" s="43" t="str">
        <x:v>especialista ou revenda de vedações industriais</x:v>
      </x:c>
      <x:c r="M118" s="43" t="str">
        <x:v>açúcar e etanol, bombas, válvulas, caldeiraria e máquinas pesadas</x:v>
      </x:c>
      <x:c r="N118" s="43" t="str">
        <x:v>gaxetas, raspadores, anéis guia, vedações de haste e pistão, retentores especiais e reposições fora de linha</x:v>
      </x:c>
      <x:c r="O118" s="43" t="str">
        <x:v>peças sob medida em PTFE puro ou carregado, poliuretano, NBR, FKM, nylon e outros materiais técnicos</x:v>
      </x:c>
      <x:c r="P118" s="43" t="str">
        <x:v>complementar o portfólio com itens especiais, pequenas e médias séries, urgências e fabricação por desenho ou amostra</x:v>
      </x:c>
      <x:c r="Q118" s="43" t="str">
        <x:v>Segmento da base: Vedações; localização: Sertãozinho/SP; contexto industrial regional usado apenas como hipótese comercial. Sem e-mail público localizado. Nenhuma afirmação sobre clientes ou aplicações específicas da empresa foi feita sem fonte.</x:v>
      </x:c>
      <x:c r="R118" s="43" t="str">
        <x:v>Baixa</x:v>
      </x:c>
      <x:c r="S118" s="43" t="str">
        <x:v>Sim</x:v>
      </x:c>
      <x:c r="T118" s="43" t="str">
        <x:v>Possível parceria técnica — Usina Vedações e Parts Seals</x:v>
      </x:c>
      <x:c r="U118" s="43" t="str">
        <x:v>Olá, equipe da Usina Vedações,</x:v>
      </x:c>
      <x:c r="V118" s="43" t="str">
        <x:v>Olá, equipe da Usina Vedações,
Ao analisar o perfil da Usina Vedações em Sertãozinho, identifiquei uma possibilidade de parceria para demandas de vedação que não se encaixam bem em linhas padronizadas.
Em Sertãozinho/SP, cadeias como açúcar e etanol, bombas, válvulas, caldeiraria e máquinas pesadas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18" s="43" t="str">
        <x:v>Olá, equipe da Usina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18" s="43" t="str">
        <x:v>Olá, equipe da Usina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18" s="43" t="str">
        <x:v>Vocês recebem consultas de peças especiais que acabam sem atendimento por prazo, material, quantidade ou ausência de desenho?</x:v>
      </x:c>
      <x:c r="Z118" s="43" t="str">
        <x:v>Este contato foi direcionado a um canal corporativo público por possível aderência entre as atividades das empresas. Para não receber novas mensagens da Parts Seals, responda com REMOVER.</x:v>
      </x:c>
      <x:c r="AA118" s="43" t="str">
        <x:v>Sem e-mail</x:v>
      </x:c>
      <x:c r="AB118" s="43" t="str">
        <x:v>Não</x:v>
      </x:c>
      <x:c r="AC118" s="44"/>
      <x:c r="AD118" s="44"/>
      <x:c r="AE118" s="44"/>
      <x:c r="AF118" s="44"/>
      <x:c r="AG118" s="43"/>
      <x:c r="AH118" s="43"/>
      <x:c r="AI118" s="43" t="str">
        <x:v>Não</x:v>
      </x:c>
      <x:c r="AJ118" s="43"/>
      <x:c r="AK118" s="43"/>
      <x:c r="AL118" s="43" t="str">
        <x:v>https://perfildaindustria.portaldaindustria.com.br/estado/tudo/sp</x:v>
      </x:c>
      <x:c r="AM118" s="43" t="str">
        <x:v>Não localizado em fonte pública confiável até 24/07/2026</x:v>
      </x:c>
      <x:c r="AN118" s="43" t="str">
        <x:v>Pesquise a empresa Usina Vedações, de Sertãozinho/SP,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18" s="43" t="str">
        <x:v>2026-07-24 v1</x:v>
      </x:c>
    </x:row>
    <x:row r="119" ht="72" customHeight="1">
      <x:c r="A119" s="43" t="n">
        <x:v>118</x:v>
      </x:c>
      <x:c r="B119" s="43" t="str">
        <x:v>Vedacert Selos Mecânicos</x:v>
      </x:c>
      <x:c r="C119" s="43" t="str">
        <x:v>Selos Mecânicos</x:v>
      </x:c>
      <x:c r="D119" s="43" t="str">
        <x:v>Sertãozinho</x:v>
      </x:c>
      <x:c r="E119" s="43" t="str">
        <x:v>SP</x:v>
      </x:c>
      <x:c r="F119" s="43" t="str">
        <x:v>Sudeste</x:v>
      </x:c>
      <x:c r="G119" s="43" t="str">
        <x:v>B - Média</x:v>
      </x:c>
      <x:c r="H119" s="43" t="str">
        <x:v>Não contatado</x:v>
      </x:c>
      <x:c r="I119" s="43" t="str">
        <x:v>suporte@vedacert.com.br</x:v>
      </x:c>
      <x:c r="J119" s="43" t="str">
        <x:v>https://www.vedacert.com.br/contato</x:v>
      </x:c>
      <x:c r="K119" s="43" t="str">
        <x:v>Sim</x:v>
      </x:c>
      <x:c r="L119" s="43" t="str">
        <x:v>especialista em selos mecânicos e componentes de vedação</x:v>
      </x:c>
      <x:c r="M119" s="43" t="str">
        <x:v>açúcar e etanol, bombas, válvulas, caldeiraria e máquinas pesadas</x:v>
      </x:c>
      <x:c r="N119" s="43" t="str">
        <x:v>vedações secundárias, anéis, juntas, sedes auxiliares e componentes especiais para conjuntos de selagem</x:v>
      </x:c>
      <x:c r="O119" s="43" t="str">
        <x:v>componentes em PTFE, NBR, FKM, PU e materiais técnicos conforme desenho e condição de trabalho</x:v>
      </x:c>
      <x:c r="P119" s="43" t="str">
        <x:v>fornecer componentes auxiliares especiais, pequenas séries e reposições que não compensam produção interna</x:v>
      </x:c>
      <x:c r="Q119" s="43" t="str">
        <x:v>Segmento da base: Selos Mecânicos; localização: Sertãozinho/SP; contexto industrial regional usado apenas como hipótese comercial. Domínio do e-mail coincide com a fonte oficial. Nenhuma afirmação sobre clientes ou aplicações específicas da empresa foi feita sem fonte.</x:v>
      </x:c>
      <x:c r="R119" s="43" t="str">
        <x:v>Alta</x:v>
      </x:c>
      <x:c r="S119" s="43" t="str">
        <x:v>Recomendada</x:v>
      </x:c>
      <x:c r="T119" s="43" t="str">
        <x:v>Apoio em vedações sob medida para a Vedacert Selos Mecânicos</x:v>
      </x:c>
      <x:c r="U119" s="43" t="str">
        <x:v>Olá, equipe da Vedacert Selos Mecânicos,</x:v>
      </x:c>
      <x:c r="V119" s="43" t="str">
        <x:v>Olá, equipe da Vedacert Selos Mecânicos,
A Parts Seals está ampliando parcerias com empresas técnicas do setor, e o perfil da Vedacert Selos Mecânicos chamou nossa atenção pela atuação em selos mecânicos.
Em Sertãozinho/SP, cadeias como açúcar e etanol, bombas, válvulas, caldeiraria e máquinas pesadas costumam gerar solicitações de vedações especiais, principalmente quando há pressão, desgaste, ataque químico, temperatura ou dificuldade de reposição. Para o perfil de especialista em selos mecânicos e componentes de vedação, vemos maior aderência em vedações secundárias, anéis, juntas, sedes auxiliares e componentes especiais para conjuntos de selagem.
A Parts Seals pode apoiar com componentes em PTFE, NBR, FKM, PU e materiais técnicos conforme desenho e condição de trabalho. A seleção final do material é validada conforme a aplicação; para as demandas mais comuns da região, vale avaliar especialmente PU, PTFE, NBR e FKM. Nosso objetivo é fornecer componentes auxiliares especiais, pequenas séries e reposições que não compensam produção interna.
Existe algum componente secundário ou especial de selo mecânico que vocês prefeririam terceirizar?
Posso encaminhar uma apresentação curta ou avaliar um item real, sem compromisso?
Atenciosamente,
{{NOME_REMETENTE}}
Parts Seals Vedações Industriais
{{TELEFONE_REMETENTE}} | {{SITE_REMETENTE}}</x:v>
      </x:c>
      <x:c r="W119" s="43" t="str">
        <x:v>Olá, equipe da Vedacert Selos Mecânicos,
Retomando meu contato: pelo perfil de selos mecânicos de vocês, acredito que podemos apoiar principalmente em vedações secundárias, anéis, juntas, sedes auxiliares e componentes especiais para conjuntos de selagem.
Se tiverem uma medida, desenho ou foto de um item difícil de localizar, podemos fazer uma análise inicial e indicar o material mais adequado. Há algum caso em aberto que possamos avaliar?
Atenciosamente,
{{NOME_REMETENTE}}
Parts Seals Vedações Industriais</x:v>
      </x:c>
      <x:c r="X119" s="43" t="str">
        <x:v>Olá, equipe da Vedacert Selos Mecânicos,
Encerrando meu contato para não insistir. Caso surja alguma demanda de vedações secundárias, anéis, juntas, sedes auxiliares e componentes especiais para conjuntos de selagem,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19" s="43" t="str">
        <x:v>Existe algum componente secundário ou especial de selo mecânico que vocês prefeririam terceirizar?</x:v>
      </x:c>
      <x:c r="Z119" s="43" t="str">
        <x:v>Este contato foi direcionado a um canal corporativo público por possível aderência entre as atividades das empresas. Para não receber novas mensagens da Parts Seals, responda com REMOVER.</x:v>
      </x:c>
      <x:c r="AA119" s="43" t="str">
        <x:v>Aguardando aprovação</x:v>
      </x:c>
      <x:c r="AB119" s="43" t="str">
        <x:v>Não</x:v>
      </x:c>
      <x:c r="AC119" s="44"/>
      <x:c r="AD119" s="44"/>
      <x:c r="AE119" s="44"/>
      <x:c r="AF119" s="44"/>
      <x:c r="AG119" s="43"/>
      <x:c r="AH119" s="43"/>
      <x:c r="AI119" s="43" t="str">
        <x:v>Não</x:v>
      </x:c>
      <x:c r="AJ119" s="43"/>
      <x:c r="AK119" s="43"/>
      <x:c r="AL119" s="43" t="str">
        <x:v>https://perfildaindustria.portaldaindustria.com.br/estado/tudo/sp</x:v>
      </x:c>
      <x:c r="AM119" s="43" t="str">
        <x:v>https://www.vedacert.com.br/contato</x:v>
      </x:c>
      <x:c r="AN119" s="43" t="str">
        <x:v>Pesquise a empresa Vedacert Selos Mecânicos, de Sertãozinho/SP,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19" s="43" t="str">
        <x:v>2026-07-24 v1</x:v>
      </x:c>
    </x:row>
    <x:row r="120" ht="72" customHeight="1">
      <x:c r="A120" s="43" t="n">
        <x:v>119</x:v>
      </x:c>
      <x:c r="B120" s="43" t="str">
        <x:v>Hennings Vedações Hidráulicas</x:v>
      </x:c>
      <x:c r="C120" s="43" t="str">
        <x:v>Fabricante/Vedações</x:v>
      </x:c>
      <x:c r="D120" s="43" t="str">
        <x:v>Sorocaba</x:v>
      </x:c>
      <x:c r="E120" s="43" t="str">
        <x:v>SP</x:v>
      </x:c>
      <x:c r="F120" s="43" t="str">
        <x:v>Sudeste</x:v>
      </x:c>
      <x:c r="G120" s="43" t="str">
        <x:v>C - Baixa</x:v>
      </x:c>
      <x:c r="H120" s="43" t="str">
        <x:v>Não contatado</x:v>
      </x:c>
      <x:c r="I120" s="43"/>
      <x:c r="J120" s="43" t="str">
        <x:v>Não localizado em fonte pública confiável até 24/07/2026</x:v>
      </x:c>
      <x:c r="K120" s="43" t="str">
        <x:v>Não</x:v>
      </x:c>
      <x:c r="L120" s="43" t="str">
        <x:v>fabricante ou transformador especializado em vedações</x:v>
      </x:c>
      <x:c r="M120" s="43" t="str">
        <x:v>máquinas pesadas, automotivo, metalmecânico e manutenção industrial</x:v>
      </x:c>
      <x:c r="N120" s="43" t="str">
        <x:v>itens fora de padrão, picos de demanda, protótipos, reposições urgentes e lotes que exigem processo ou material específico</x:v>
      </x:c>
      <x:c r="O120" s="43" t="str">
        <x:v>componentes usinados e moldados em PTFE puro ou carregado, PU, NBR, FKM e materiais técnicos, conforme desenho ou amostra</x:v>
      </x:c>
      <x:c r="P120" s="43" t="str">
        <x:v>atuar como apoio produtivo complementar, preservando a relação comercial de vocês com o cliente final</x:v>
      </x:c>
      <x:c r="Q120" s="43" t="str">
        <x:v>Segmento da base: Fabricante/Vedações; localização: Sorocaba/SP; contexto industrial regional usado apenas como hipótese comercial. Sem e-mail público localizado. Nenhuma afirmação sobre clientes ou aplicações específicas da empresa foi feita sem fonte.</x:v>
      </x:c>
      <x:c r="R120" s="43" t="str">
        <x:v>Baixa</x:v>
      </x:c>
      <x:c r="S120" s="43" t="str">
        <x:v>Sim</x:v>
      </x:c>
      <x:c r="T120" s="43" t="str">
        <x:v>Itens urgentes ou fora de padrão — Hennings Vedações Hidráulicas</x:v>
      </x:c>
      <x:c r="U120" s="43" t="str">
        <x:v>Olá, equipe da Hennings Vedações Hidráulicas,</x:v>
      </x:c>
      <x:c r="V120" s="43" t="str">
        <x:v>Olá, equipe da Hennings Vedações Hidráulicas,
Gostaria de apresentar uma possibilidade de apoio complementar à Hennings Vedações Hidráulicas para peças especiais, urgências e reposições fora de catálogo.
Em Sorocaba/SP, cadeias como máquinas pesadas, automotivo, metalmecânico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20" s="43" t="str">
        <x:v>Olá, equipe da Hennings Vedações Hidráulicas,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20" s="43" t="str">
        <x:v>Olá, equipe da Hennings Vedações Hidráulicas,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20" s="43" t="str">
        <x:v>Existe hoje algum item especial, urgente ou de baixa quantidade que esteja ocupando capacidade ou ficando sem atendimento?</x:v>
      </x:c>
      <x:c r="Z120" s="43" t="str">
        <x:v>Este contato foi direcionado a um canal corporativo público por possível aderência entre as atividades das empresas. Para não receber novas mensagens da Parts Seals, responda com REMOVER.</x:v>
      </x:c>
      <x:c r="AA120" s="43" t="str">
        <x:v>Sem e-mail</x:v>
      </x:c>
      <x:c r="AB120" s="43" t="str">
        <x:v>Não</x:v>
      </x:c>
      <x:c r="AC120" s="44"/>
      <x:c r="AD120" s="44"/>
      <x:c r="AE120" s="44"/>
      <x:c r="AF120" s="44"/>
      <x:c r="AG120" s="43"/>
      <x:c r="AH120" s="43"/>
      <x:c r="AI120" s="43" t="str">
        <x:v>Não</x:v>
      </x:c>
      <x:c r="AJ120" s="43"/>
      <x:c r="AK120" s="43"/>
      <x:c r="AL120" s="43" t="str">
        <x:v>https://perfildaindustria.portaldaindustria.com.br/estado/tudo/sp</x:v>
      </x:c>
      <x:c r="AM120" s="43" t="str">
        <x:v>Não localizado em fonte pública confiável até 24/07/2026</x:v>
      </x:c>
      <x:c r="AN120" s="43" t="str">
        <x:v>Pesquise a empresa Hennings Vedações Hidráulicas, de Sorocaba/SP,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20" s="43" t="str">
        <x:v>2026-07-24 v1</x:v>
      </x:c>
    </x:row>
    <x:row r="121" ht="72" customHeight="1">
      <x:c r="A121" s="43" t="n">
        <x:v>120</x:v>
      </x:c>
      <x:c r="B121" s="43" t="str">
        <x:v>Plasved Vedações Industriais</x:v>
      </x:c>
      <x:c r="C121" s="43" t="str">
        <x:v>Vedações</x:v>
      </x:c>
      <x:c r="D121" s="43" t="str">
        <x:v>Sorocaba</x:v>
      </x:c>
      <x:c r="E121" s="43" t="str">
        <x:v>SP</x:v>
      </x:c>
      <x:c r="F121" s="43" t="str">
        <x:v>Sudeste</x:v>
      </x:c>
      <x:c r="G121" s="43" t="str">
        <x:v>B - Média</x:v>
      </x:c>
      <x:c r="H121" s="43" t="str">
        <x:v>Não contatado</x:v>
      </x:c>
      <x:c r="I121" s="43" t="str">
        <x:v>comercial@plasved.com.br</x:v>
      </x:c>
      <x:c r="J121" s="43" t="str">
        <x:v>https://www.plasved.com.br/contato</x:v>
      </x:c>
      <x:c r="K121" s="43" t="str">
        <x:v>Sim</x:v>
      </x:c>
      <x:c r="L121" s="43" t="str">
        <x:v>especialista ou revenda de vedações industriais</x:v>
      </x:c>
      <x:c r="M121" s="43" t="str">
        <x:v>máquinas pesadas, automotivo, metalmecânico e manutenção industrial</x:v>
      </x:c>
      <x:c r="N121" s="43" t="str">
        <x:v>gaxetas, raspadores, anéis guia, vedações de haste e pistão, retentores especiais e reposições fora de linha</x:v>
      </x:c>
      <x:c r="O121" s="43" t="str">
        <x:v>peças sob medida em PTFE puro ou carregado, poliuretano, NBR, FKM, nylon e outros materiais técnicos</x:v>
      </x:c>
      <x:c r="P121" s="43" t="str">
        <x:v>complementar o portfólio com itens especiais, pequenas e médias séries, urgências e fabricação por desenho ou amostra</x:v>
      </x:c>
      <x:c r="Q121" s="43" t="str">
        <x:v>Segmento da base: Vedações; localização: Sorocaba/SP; contexto industrial regional usado apenas como hipótese comercial. Domínio do e-mail coincide com a fonte oficial. Nenhuma afirmação sobre clientes ou aplicações específicas da empresa foi feita sem fonte.</x:v>
      </x:c>
      <x:c r="R121" s="43" t="str">
        <x:v>Alta</x:v>
      </x:c>
      <x:c r="S121" s="43" t="str">
        <x:v>Recomendada</x:v>
      </x:c>
      <x:c r="T121" s="43" t="str">
        <x:v>Peças especiais para complementar o atendimento da Plasved Vedações Industriais</x:v>
      </x:c>
      <x:c r="U121" s="43" t="str">
        <x:v>Olá, equipe da Plasved Vedações Industriais,</x:v>
      </x:c>
      <x:c r="V121" s="43" t="str">
        <x:v>Olá, equipe da Plasved Vedações Industriais,
Estou entrando em contato porque a atuação da Plasved Vedações Industriais em vedações tem boa aderência ao tipo de fabricação especial que realizamos na Parts Seals.
Em Sorocaba/SP, cadeias como máquinas pesadas, automotivo, metalmecânico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21" s="43" t="str">
        <x:v>Olá, equipe da Plasved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21" s="43" t="str">
        <x:v>Olá, equipe da Plasved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21" s="43" t="str">
        <x:v>Vocês recebem consultas de peças especiais que acabam sem atendimento por prazo, material, quantidade ou ausência de desenho?</x:v>
      </x:c>
      <x:c r="Z121" s="43" t="str">
        <x:v>Este contato foi direcionado a um canal corporativo público por possível aderência entre as atividades das empresas. Para não receber novas mensagens da Parts Seals, responda com REMOVER.</x:v>
      </x:c>
      <x:c r="AA121" s="43" t="str">
        <x:v>Aguardando aprovação</x:v>
      </x:c>
      <x:c r="AB121" s="43" t="str">
        <x:v>Não</x:v>
      </x:c>
      <x:c r="AC121" s="44"/>
      <x:c r="AD121" s="44"/>
      <x:c r="AE121" s="44"/>
      <x:c r="AF121" s="44"/>
      <x:c r="AG121" s="43"/>
      <x:c r="AH121" s="43"/>
      <x:c r="AI121" s="43" t="str">
        <x:v>Não</x:v>
      </x:c>
      <x:c r="AJ121" s="43"/>
      <x:c r="AK121" s="43"/>
      <x:c r="AL121" s="43" t="str">
        <x:v>https://perfildaindustria.portaldaindustria.com.br/estado/tudo/sp</x:v>
      </x:c>
      <x:c r="AM121" s="43" t="str">
        <x:v>https://www.plasved.com.br/contato</x:v>
      </x:c>
      <x:c r="AN121" s="43" t="str">
        <x:v>Pesquise a empresa Plasved Vedações Industriais, de Sorocaba/SP,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21" s="43" t="str">
        <x:v>2026-07-24 v1</x:v>
      </x:c>
    </x:row>
    <x:row r="122" ht="72" customHeight="1">
      <x:c r="A122" s="43" t="n">
        <x:v>121</x:v>
      </x:c>
      <x:c r="B122" s="43" t="str">
        <x:v>Seals Makita Industrial Accessories</x:v>
      </x:c>
      <x:c r="C122" s="43" t="str">
        <x:v>Vedações</x:v>
      </x:c>
      <x:c r="D122" s="43" t="str">
        <x:v>Sorocaba</x:v>
      </x:c>
      <x:c r="E122" s="43" t="str">
        <x:v>SP</x:v>
      </x:c>
      <x:c r="F122" s="43" t="str">
        <x:v>Sudeste</x:v>
      </x:c>
      <x:c r="G122" s="43" t="str">
        <x:v>A - Alta</x:v>
      </x:c>
      <x:c r="H122" s="43" t="str">
        <x:v>Não contatado</x:v>
      </x:c>
      <x:c r="I122" s="43"/>
      <x:c r="J122" s="43" t="str">
        <x:v>Não localizado em fonte pública confiável até 24/07/2026</x:v>
      </x:c>
      <x:c r="K122" s="43" t="str">
        <x:v>Não</x:v>
      </x:c>
      <x:c r="L122" s="43" t="str">
        <x:v>especialista ou revenda de vedações industriais</x:v>
      </x:c>
      <x:c r="M122" s="43" t="str">
        <x:v>máquinas pesadas, automotivo, metalmecânico e manutenção industrial</x:v>
      </x:c>
      <x:c r="N122" s="43" t="str">
        <x:v>gaxetas, raspadores, anéis guia, vedações de haste e pistão, retentores especiais e reposições fora de linha</x:v>
      </x:c>
      <x:c r="O122" s="43" t="str">
        <x:v>peças sob medida em PTFE puro ou carregado, poliuretano, NBR, FKM, nylon e outros materiais técnicos</x:v>
      </x:c>
      <x:c r="P122" s="43" t="str">
        <x:v>complementar o portfólio com itens especiais, pequenas e médias séries, urgências e fabricação por desenho ou amostra</x:v>
      </x:c>
      <x:c r="Q122" s="43" t="str">
        <x:v>Segmento da base: Vedações; localização: Sorocaba/SP; contexto industrial regional usado apenas como hipótese comercial. Sem e-mail público localizado. Nenhuma afirmação sobre clientes ou aplicações específicas da empresa foi feita sem fonte.</x:v>
      </x:c>
      <x:c r="R122" s="43" t="str">
        <x:v>Baixa</x:v>
      </x:c>
      <x:c r="S122" s="43" t="str">
        <x:v>Sim</x:v>
      </x:c>
      <x:c r="T122" s="43" t="str">
        <x:v>Possível parceria técnica — Seals Makita Industrial Accessories e Parts Seals</x:v>
      </x:c>
      <x:c r="U122" s="43" t="str">
        <x:v>Olá, equipe da Seals Makita Industrial Accessories,</x:v>
      </x:c>
      <x:c r="V122" s="43" t="str">
        <x:v>Olá, equipe da Seals Makita Industrial Accessories,
Ao analisar o perfil da Seals Makita Industrial Accessories em Sorocaba, identifiquei uma possibilidade de parceria para demandas de vedação que não se encaixam bem em linhas padronizadas.
Em Sorocaba/SP, cadeias como máquinas pesadas, automotivo, metalmecânico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22" s="43" t="str">
        <x:v>Olá, equipe da Seals Makita Industrial Accessories,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22" s="43" t="str">
        <x:v>Olá, equipe da Seals Makita Industrial Accessories,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22" s="43" t="str">
        <x:v>Vocês recebem consultas de peças especiais que acabam sem atendimento por prazo, material, quantidade ou ausência de desenho?</x:v>
      </x:c>
      <x:c r="Z122" s="43" t="str">
        <x:v>Este contato foi direcionado a um canal corporativo público por possível aderência entre as atividades das empresas. Para não receber novas mensagens da Parts Seals, responda com REMOVER.</x:v>
      </x:c>
      <x:c r="AA122" s="43" t="str">
        <x:v>Sem e-mail</x:v>
      </x:c>
      <x:c r="AB122" s="43" t="str">
        <x:v>Não</x:v>
      </x:c>
      <x:c r="AC122" s="44"/>
      <x:c r="AD122" s="44"/>
      <x:c r="AE122" s="44"/>
      <x:c r="AF122" s="44"/>
      <x:c r="AG122" s="43"/>
      <x:c r="AH122" s="43"/>
      <x:c r="AI122" s="43" t="str">
        <x:v>Não</x:v>
      </x:c>
      <x:c r="AJ122" s="43"/>
      <x:c r="AK122" s="43"/>
      <x:c r="AL122" s="43" t="str">
        <x:v>https://perfildaindustria.portaldaindustria.com.br/estado/tudo/sp</x:v>
      </x:c>
      <x:c r="AM122" s="43" t="str">
        <x:v>Não localizado em fonte pública confiável até 24/07/2026</x:v>
      </x:c>
      <x:c r="AN122" s="43" t="str">
        <x:v>Pesquise a empresa Seals Makita Industrial Accessories, de Sorocaba/SP,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22" s="43" t="str">
        <x:v>2026-07-24 v1</x:v>
      </x:c>
    </x:row>
    <x:row r="123" ht="72" customHeight="1">
      <x:c r="A123" s="43" t="n">
        <x:v>122</x:v>
      </x:c>
      <x:c r="B123" s="43" t="str">
        <x:v>Vedações Promitec</x:v>
      </x:c>
      <x:c r="C123" s="43" t="str">
        <x:v>Fabricante/Vedações</x:v>
      </x:c>
      <x:c r="D123" s="43" t="str">
        <x:v>Sorocaba</x:v>
      </x:c>
      <x:c r="E123" s="43" t="str">
        <x:v>SP</x:v>
      </x:c>
      <x:c r="F123" s="43" t="str">
        <x:v>Sudeste</x:v>
      </x:c>
      <x:c r="G123" s="43" t="str">
        <x:v>C - Baixa</x:v>
      </x:c>
      <x:c r="H123" s="43" t="str">
        <x:v>Não contatado</x:v>
      </x:c>
      <x:c r="I123" s="43" t="str">
        <x:v>vendas@promitec.com.br</x:v>
      </x:c>
      <x:c r="J123" s="43" t="str">
        <x:v>https://www.promitec.com.br/contato.html</x:v>
      </x:c>
      <x:c r="K123" s="43" t="str">
        <x:v>Sim</x:v>
      </x:c>
      <x:c r="L123" s="43" t="str">
        <x:v>fabricante ou transformador especializado em vedações</x:v>
      </x:c>
      <x:c r="M123" s="43" t="str">
        <x:v>máquinas pesadas, automotivo, metalmecânico e manutenção industrial</x:v>
      </x:c>
      <x:c r="N123" s="43" t="str">
        <x:v>itens fora de padrão, picos de demanda, protótipos, reposições urgentes e lotes que exigem processo ou material específico</x:v>
      </x:c>
      <x:c r="O123" s="43" t="str">
        <x:v>componentes usinados e moldados em PTFE puro ou carregado, PU, NBR, FKM e materiais técnicos, conforme desenho ou amostra</x:v>
      </x:c>
      <x:c r="P123" s="43" t="str">
        <x:v>atuar como apoio produtivo complementar, preservando a relação comercial de vocês com o cliente final</x:v>
      </x:c>
      <x:c r="Q123" s="43" t="str">
        <x:v>Segmento da base: Fabricante/Vedações; localização: Sorocaba/SP; contexto industrial regional usado apenas como hipótese comercial. Domínio do e-mail coincide com a fonte oficial. Nenhuma afirmação sobre clientes ou aplicações específicas da empresa foi feita sem fonte.</x:v>
      </x:c>
      <x:c r="R123" s="43" t="str">
        <x:v>Alta</x:v>
      </x:c>
      <x:c r="S123" s="43" t="str">
        <x:v>Recomendada</x:v>
      </x:c>
      <x:c r="T123" s="43" t="str">
        <x:v>Capacidade complementar em vedações — Vedações Promitec</x:v>
      </x:c>
      <x:c r="U123" s="43" t="str">
        <x:v>Olá, equipe da Vedações Promitec,</x:v>
      </x:c>
      <x:c r="V123" s="43" t="str">
        <x:v>Olá, equipe da Vedações Promitec,
A Parts Seals está ampliando parcerias com empresas técnicas do setor, e o perfil da Vedações Promitec chamou nossa atenção pela atuação em fabricante/vedações.
Em Sorocaba/SP, cadeias como máquinas pesadas, automotivo, metalmecânico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23" s="43" t="str">
        <x:v>Olá, equipe da Vedações Promitec,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23" s="43" t="str">
        <x:v>Olá, equipe da Vedações Promitec,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23" s="43" t="str">
        <x:v>Existe hoje algum item especial, urgente ou de baixa quantidade que esteja ocupando capacidade ou ficando sem atendimento?</x:v>
      </x:c>
      <x:c r="Z123" s="43" t="str">
        <x:v>Este contato foi direcionado a um canal corporativo público por possível aderência entre as atividades das empresas. Para não receber novas mensagens da Parts Seals, responda com REMOVER.</x:v>
      </x:c>
      <x:c r="AA123" s="43" t="str">
        <x:v>Aguardando aprovação</x:v>
      </x:c>
      <x:c r="AB123" s="43" t="str">
        <x:v>Não</x:v>
      </x:c>
      <x:c r="AC123" s="44"/>
      <x:c r="AD123" s="44"/>
      <x:c r="AE123" s="44"/>
      <x:c r="AF123" s="44"/>
      <x:c r="AG123" s="43"/>
      <x:c r="AH123" s="43"/>
      <x:c r="AI123" s="43" t="str">
        <x:v>Não</x:v>
      </x:c>
      <x:c r="AJ123" s="43"/>
      <x:c r="AK123" s="43"/>
      <x:c r="AL123" s="43" t="str">
        <x:v>https://perfildaindustria.portaldaindustria.com.br/estado/tudo/sp</x:v>
      </x:c>
      <x:c r="AM123" s="43" t="str">
        <x:v>https://www.promitec.com.br/contato.html</x:v>
      </x:c>
      <x:c r="AN123" s="43" t="str">
        <x:v>Pesquise a empresa Vedações Promitec, de Sorocaba/SP,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23" s="43" t="str">
        <x:v>2026-07-24 v1</x:v>
      </x:c>
    </x:row>
    <x:row r="124" ht="72" customHeight="1">
      <x:c r="A124" s="43" t="n">
        <x:v>123</x:v>
      </x:c>
      <x:c r="B124" s="43" t="str">
        <x:v>Ret Componentes</x:v>
      </x:c>
      <x:c r="C124" s="43" t="str">
        <x:v>Vedações</x:v>
      </x:c>
      <x:c r="D124" s="43" t="str">
        <x:v>São Bernardo do Campo</x:v>
      </x:c>
      <x:c r="E124" s="43" t="str">
        <x:v>SP</x:v>
      </x:c>
      <x:c r="F124" s="43" t="str">
        <x:v>Sudeste</x:v>
      </x:c>
      <x:c r="G124" s="43" t="str">
        <x:v>A - Alta</x:v>
      </x:c>
      <x:c r="H124" s="43" t="str">
        <x:v>Não contatado</x:v>
      </x:c>
      <x:c r="I124" s="43"/>
      <x:c r="J124" s="43" t="str">
        <x:v>Não localizado em fonte pública confiável até 24/07/2026</x:v>
      </x:c>
      <x:c r="K124" s="43" t="str">
        <x:v>Não</x:v>
      </x:c>
      <x:c r="L124" s="43" t="str">
        <x:v>especialista ou revenda de vedações industriais</x:v>
      </x:c>
      <x:c r="M124" s="43" t="str">
        <x:v>automotivo, metalmecânico e manutenção de linhas produtivas</x:v>
      </x:c>
      <x:c r="N124" s="43" t="str">
        <x:v>gaxetas, raspadores, anéis guia, vedações de haste e pistão, retentores especiais e reposições fora de linha</x:v>
      </x:c>
      <x:c r="O124" s="43" t="str">
        <x:v>peças sob medida em PTFE puro ou carregado, poliuretano, NBR, FKM, nylon e outros materiais técnicos</x:v>
      </x:c>
      <x:c r="P124" s="43" t="str">
        <x:v>complementar o portfólio com itens especiais, pequenas e médias séries, urgências e fabricação por desenho ou amostra</x:v>
      </x:c>
      <x:c r="Q124" s="43" t="str">
        <x:v>Segmento da base: Vedações; localização: São Bernardo do Campo/SP; contexto industrial regional usado apenas como hipótese comercial. Sem e-mail público localizado. Nenhuma afirmação sobre clientes ou aplicações específicas da empresa foi feita sem fonte.</x:v>
      </x:c>
      <x:c r="R124" s="43" t="str">
        <x:v>Baixa</x:v>
      </x:c>
      <x:c r="S124" s="43" t="str">
        <x:v>Sim</x:v>
      </x:c>
      <x:c r="T124" s="43" t="str">
        <x:v>Demandas fora de catálogo na Ret Componentes</x:v>
      </x:c>
      <x:c r="U124" s="43" t="str">
        <x:v>Olá, equipe da Ret Componentes,</x:v>
      </x:c>
      <x:c r="V124" s="43" t="str">
        <x:v>Olá, equipe da Ret Componentes,
Gostaria de apresentar uma possibilidade de apoio complementar à Ret Componentes para peças especiais, urgências e reposições fora de catálogo.
Em São Bernardo do Campo/SP, cadeias como automotivo, metalmecânico e manutenção de linhas produtivas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24" s="43" t="str">
        <x:v>Olá, equipe da Ret Componentes,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24" s="43" t="str">
        <x:v>Olá, equipe da Ret Componentes,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24" s="43" t="str">
        <x:v>Vocês recebem consultas de peças especiais que acabam sem atendimento por prazo, material, quantidade ou ausência de desenho?</x:v>
      </x:c>
      <x:c r="Z124" s="43" t="str">
        <x:v>Este contato foi direcionado a um canal corporativo público por possível aderência entre as atividades das empresas. Para não receber novas mensagens da Parts Seals, responda com REMOVER.</x:v>
      </x:c>
      <x:c r="AA124" s="43" t="str">
        <x:v>Sem e-mail</x:v>
      </x:c>
      <x:c r="AB124" s="43" t="str">
        <x:v>Não</x:v>
      </x:c>
      <x:c r="AC124" s="44"/>
      <x:c r="AD124" s="44"/>
      <x:c r="AE124" s="44"/>
      <x:c r="AF124" s="44"/>
      <x:c r="AG124" s="43"/>
      <x:c r="AH124" s="43"/>
      <x:c r="AI124" s="43" t="str">
        <x:v>Não</x:v>
      </x:c>
      <x:c r="AJ124" s="43"/>
      <x:c r="AK124" s="43"/>
      <x:c r="AL124" s="43" t="str">
        <x:v>https://perfildaindustria.portaldaindustria.com.br/estado/tudo/sp</x:v>
      </x:c>
      <x:c r="AM124" s="43" t="str">
        <x:v>Não localizado em fonte pública confiável até 24/07/2026</x:v>
      </x:c>
      <x:c r="AN124" s="43" t="str">
        <x:v>Pesquise a empresa Ret Componentes, de São Bernardo do Campo/SP,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24" s="43" t="str">
        <x:v>2026-07-24 v1</x:v>
      </x:c>
    </x:row>
    <x:row r="125" ht="72" customHeight="1">
      <x:c r="A125" s="43" t="n">
        <x:v>124</x:v>
      </x:c>
      <x:c r="B125" s="43" t="str">
        <x:v>DL Seals Vedações Técnicas</x:v>
      </x:c>
      <x:c r="C125" s="43" t="str">
        <x:v>Fabricante/Vedações</x:v>
      </x:c>
      <x:c r="D125" s="43" t="str">
        <x:v>São Caetano do Sul</x:v>
      </x:c>
      <x:c r="E125" s="43" t="str">
        <x:v>SP</x:v>
      </x:c>
      <x:c r="F125" s="43" t="str">
        <x:v>Sudeste</x:v>
      </x:c>
      <x:c r="G125" s="43" t="str">
        <x:v>C - Baixa</x:v>
      </x:c>
      <x:c r="H125" s="43" t="str">
        <x:v>Não contatado</x:v>
      </x:c>
      <x:c r="I125" s="43"/>
      <x:c r="J125" s="43" t="str">
        <x:v>Não localizado em fonte pública confiável até 24/07/2026</x:v>
      </x:c>
      <x:c r="K125" s="43" t="str">
        <x:v>Não</x:v>
      </x:c>
      <x:c r="L125" s="43" t="str">
        <x:v>fabricante ou transformador especializado em vedações</x:v>
      </x:c>
      <x:c r="M125" s="43" t="str">
        <x:v>automotivo, metalmecânico e manutenção industrial</x:v>
      </x:c>
      <x:c r="N125" s="43" t="str">
        <x:v>itens fora de padrão, picos de demanda, protótipos, reposições urgentes e lotes que exigem processo ou material específico</x:v>
      </x:c>
      <x:c r="O125" s="43" t="str">
        <x:v>componentes usinados e moldados em PTFE puro ou carregado, PU, NBR, FKM e materiais técnicos, conforme desenho ou amostra</x:v>
      </x:c>
      <x:c r="P125" s="43" t="str">
        <x:v>atuar como apoio produtivo complementar, preservando a relação comercial de vocês com o cliente final</x:v>
      </x:c>
      <x:c r="Q125" s="43" t="str">
        <x:v>Segmento da base: Fabricante/Vedações; localização: São Caetano do Sul/SP; contexto industrial regional usado apenas como hipótese comercial. Sem e-mail público localizado. Nenhuma afirmação sobre clientes ou aplicações específicas da empresa foi feita sem fonte.</x:v>
      </x:c>
      <x:c r="R125" s="43" t="str">
        <x:v>Baixa</x:v>
      </x:c>
      <x:c r="S125" s="43" t="str">
        <x:v>Sim</x:v>
      </x:c>
      <x:c r="T125" s="43" t="str">
        <x:v>Apoio produtivo para itens especiais — DL Seals Vedações Técnicas</x:v>
      </x:c>
      <x:c r="U125" s="43" t="str">
        <x:v>Olá, equipe da DL Seals Vedações Técnicas,</x:v>
      </x:c>
      <x:c r="V125" s="43" t="str">
        <x:v>Olá, equipe da DL Seals Vedações Técnicas,
Estou entrando em contato porque a atuação da DL Seals Vedações Técnicas em fabricante/vedações tem boa aderência ao tipo de fabricação especial que realizamos na Parts Seals.
Em São Caetano do Sul/SP, cadeias como automotivo, metalmecânico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25" s="43" t="str">
        <x:v>Olá, equipe da DL Seals Vedações Técnicas,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25" s="43" t="str">
        <x:v>Olá, equipe da DL Seals Vedações Técnicas,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25" s="43" t="str">
        <x:v>Existe hoje algum item especial, urgente ou de baixa quantidade que esteja ocupando capacidade ou ficando sem atendimento?</x:v>
      </x:c>
      <x:c r="Z125" s="43" t="str">
        <x:v>Este contato foi direcionado a um canal corporativo público por possível aderência entre as atividades das empresas. Para não receber novas mensagens da Parts Seals, responda com REMOVER.</x:v>
      </x:c>
      <x:c r="AA125" s="43" t="str">
        <x:v>Sem e-mail</x:v>
      </x:c>
      <x:c r="AB125" s="43" t="str">
        <x:v>Não</x:v>
      </x:c>
      <x:c r="AC125" s="44"/>
      <x:c r="AD125" s="44"/>
      <x:c r="AE125" s="44"/>
      <x:c r="AF125" s="44"/>
      <x:c r="AG125" s="43"/>
      <x:c r="AH125" s="43"/>
      <x:c r="AI125" s="43" t="str">
        <x:v>Não</x:v>
      </x:c>
      <x:c r="AJ125" s="43"/>
      <x:c r="AK125" s="43"/>
      <x:c r="AL125" s="43" t="str">
        <x:v>https://perfildaindustria.portaldaindustria.com.br/estado/tudo/sp</x:v>
      </x:c>
      <x:c r="AM125" s="43" t="str">
        <x:v>Não localizado em fonte pública confiável até 24/07/2026</x:v>
      </x:c>
      <x:c r="AN125" s="43" t="str">
        <x:v>Pesquise a empresa DL Seals Vedações Técnicas, de São Caetano do Sul/SP,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25" s="43" t="str">
        <x:v>2026-07-24 v1</x:v>
      </x:c>
    </x:row>
    <x:row r="126" ht="72" customHeight="1">
      <x:c r="A126" s="43" t="n">
        <x:v>125</x:v>
      </x:c>
      <x:c r="B126" s="43" t="str">
        <x:v>Delta Vedações</x:v>
      </x:c>
      <x:c r="C126" s="43" t="str">
        <x:v>Vedações</x:v>
      </x:c>
      <x:c r="D126" s="43" t="str">
        <x:v>São José do Rio Preto</x:v>
      </x:c>
      <x:c r="E126" s="43" t="str">
        <x:v>SP</x:v>
      </x:c>
      <x:c r="F126" s="43" t="str">
        <x:v>Sudeste</x:v>
      </x:c>
      <x:c r="G126" s="43" t="str">
        <x:v>B - Média</x:v>
      </x:c>
      <x:c r="H126" s="43" t="str">
        <x:v>Não contatado</x:v>
      </x:c>
      <x:c r="I126" s="43"/>
      <x:c r="J126" s="43" t="str">
        <x:v>Não localizado em fonte pública confiável até 24/07/2026</x:v>
      </x:c>
      <x:c r="K126" s="43" t="str">
        <x:v>Não</x:v>
      </x:c>
      <x:c r="L126" s="43" t="str">
        <x:v>especialista ou revenda de vedações industriais</x:v>
      </x:c>
      <x:c r="M126" s="43" t="str">
        <x:v>máquinas, automotivo, químico, alimentos e manutenção industrial</x:v>
      </x:c>
      <x:c r="N126" s="43" t="str">
        <x:v>gaxetas, raspadores, anéis guia, vedações de haste e pistão, retentores especiais e reposições fora de linha</x:v>
      </x:c>
      <x:c r="O126" s="43" t="str">
        <x:v>peças sob medida em PTFE puro ou carregado, poliuretano, NBR, FKM, nylon e outros materiais técnicos</x:v>
      </x:c>
      <x:c r="P126" s="43" t="str">
        <x:v>complementar o portfólio com itens especiais, pequenas e médias séries, urgências e fabricação por desenho ou amostra</x:v>
      </x:c>
      <x:c r="Q126" s="43" t="str">
        <x:v>Segmento da base: Vedações; localização: São José do Rio Preto/SP; contexto industrial regional usado apenas como hipótese comercial. Sem e-mail público localizado. Nenhuma afirmação sobre clientes ou aplicações específicas da empresa foi feita sem fonte.</x:v>
      </x:c>
      <x:c r="R126" s="43" t="str">
        <x:v>Baixa</x:v>
      </x:c>
      <x:c r="S126" s="43" t="str">
        <x:v>Sim</x:v>
      </x:c>
      <x:c r="T126" s="43" t="str">
        <x:v>Possível parceria técnica — Delta Vedações e Parts Seals</x:v>
      </x:c>
      <x:c r="U126" s="43" t="str">
        <x:v>Olá, equipe da Delta Vedações,</x:v>
      </x:c>
      <x:c r="V126" s="43" t="str">
        <x:v>Olá, equipe da Delta Vedações,
Ao analisar o perfil da Delta Vedações em São José do Rio Preto, identifiquei uma possibilidade de parceria para demandas de vedação que não se encaixam bem em linhas padronizadas.
Em São José do Rio Preto/SP,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26" s="43" t="str">
        <x:v>Olá, equipe da Delta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26" s="43" t="str">
        <x:v>Olá, equipe da Delta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26" s="43" t="str">
        <x:v>Vocês recebem consultas de peças especiais que acabam sem atendimento por prazo, material, quantidade ou ausência de desenho?</x:v>
      </x:c>
      <x:c r="Z126" s="43" t="str">
        <x:v>Este contato foi direcionado a um canal corporativo público por possível aderência entre as atividades das empresas. Para não receber novas mensagens da Parts Seals, responda com REMOVER.</x:v>
      </x:c>
      <x:c r="AA126" s="43" t="str">
        <x:v>Sem e-mail</x:v>
      </x:c>
      <x:c r="AB126" s="43" t="str">
        <x:v>Não</x:v>
      </x:c>
      <x:c r="AC126" s="44"/>
      <x:c r="AD126" s="44"/>
      <x:c r="AE126" s="44"/>
      <x:c r="AF126" s="44"/>
      <x:c r="AG126" s="43"/>
      <x:c r="AH126" s="43"/>
      <x:c r="AI126" s="43" t="str">
        <x:v>Não</x:v>
      </x:c>
      <x:c r="AJ126" s="43"/>
      <x:c r="AK126" s="43"/>
      <x:c r="AL126" s="43" t="str">
        <x:v>https://perfildaindustria.portaldaindustria.com.br/estado/tudo/sp</x:v>
      </x:c>
      <x:c r="AM126" s="43" t="str">
        <x:v>Não localizado em fonte pública confiável até 24/07/2026</x:v>
      </x:c>
      <x:c r="AN126" s="43" t="str">
        <x:v>Pesquise a empresa Delta Vedações, de São José do Rio Preto/SP,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26" s="43" t="str">
        <x:v>2026-07-24 v1</x:v>
      </x:c>
    </x:row>
    <x:row r="127" ht="72" customHeight="1">
      <x:c r="A127" s="43" t="n">
        <x:v>126</x:v>
      </x:c>
      <x:c r="B127" s="43" t="str">
        <x:v>Maxseals Vedações e Componentes Hidráulicos</x:v>
      </x:c>
      <x:c r="C127" s="43" t="str">
        <x:v>Hidráulica/Vedações</x:v>
      </x:c>
      <x:c r="D127" s="43" t="str">
        <x:v>São José do Rio Preto</x:v>
      </x:c>
      <x:c r="E127" s="43" t="str">
        <x:v>SP</x:v>
      </x:c>
      <x:c r="F127" s="43" t="str">
        <x:v>Sudeste</x:v>
      </x:c>
      <x:c r="G127" s="43" t="str">
        <x:v>A - Alta</x:v>
      </x:c>
      <x:c r="H127" s="43" t="str">
        <x:v>Não contatado</x:v>
      </x:c>
      <x:c r="I127" s="43"/>
      <x:c r="J127" s="43" t="str">
        <x:v>Não localizado em fonte pública confiável até 24/07/2026</x:v>
      </x:c>
      <x:c r="K127" s="43" t="str">
        <x:v>Não</x:v>
      </x:c>
      <x:c r="L127" s="43" t="str">
        <x:v>fornecedor de componentes hidráulicos e vedações</x:v>
      </x:c>
      <x:c r="M127" s="43" t="str">
        <x:v>máquinas, automotivo, químico, alimentos e manutenção industrial</x:v>
      </x:c>
      <x:c r="N127" s="43" t="str">
        <x:v>gaxetas de haste e pistão, raspadores, anéis guia, vedações rotativas e kits para cilindros hidráulicos</x:v>
      </x:c>
      <x:c r="O127" s="43" t="str">
        <x:v>vedações em PU, PTFE puro ou carregado, NBR e FKM, dimensionadas conforme pressão, velocidade, fluido e temperatura</x:v>
      </x:c>
      <x:c r="P127" s="43" t="str">
        <x:v>apoiar reformas e montagens com peças não padronizadas, reposições antigas e fabricação rápida por amostra ou desenho</x:v>
      </x:c>
      <x:c r="Q127" s="43" t="str">
        <x:v>Segmento da base: Hidráulica/Vedações; localização: São José do Rio Preto/SP; contexto industrial regional usado apenas como hipótese comercial. Sem e-mail público localizado. Nenhuma afirmação sobre clientes ou aplicações específicas da empresa foi feita sem fonte.</x:v>
      </x:c>
      <x:c r="R127" s="43" t="str">
        <x:v>Baixa</x:v>
      </x:c>
      <x:c r="S127" s="43" t="str">
        <x:v>Sim</x:v>
      </x:c>
      <x:c r="T127" s="43" t="str">
        <x:v>Gaxetas, raspadores e anéis guia sob medida</x:v>
      </x:c>
      <x:c r="U127" s="43" t="str">
        <x:v>Olá, equipe da Maxseals Vedações e Componentes Hidráulicos,</x:v>
      </x:c>
      <x:c r="V127" s="43" t="str">
        <x:v>Olá, equipe da Maxseals Vedações e Componentes Hidráulicos,
A Parts Seals está ampliando parcerias com empresas técnicas do setor, e o perfil da Maxseals Vedações e Componentes Hidráulicos chamou nossa atenção pela atuação em hidráulica/vedações.
Em São José do Rio Preto/SP, cadeias como máquinas, automotivo, químico, alimentos e manutenção industrial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PU, NBR,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127" s="43" t="str">
        <x:v>Olá, equipe da Maxseals Vedações e Componentes Hidráulicos,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127" s="43" t="str">
        <x:v>Olá, equipe da Maxseals Vedações e Componentes Hidráulicos,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27" s="43" t="str">
        <x:v>Há cilindros ou equipamentos para os quais vocês têm dificuldade de localizar a vedação correta ou cumprir o prazo do cliente?</x:v>
      </x:c>
      <x:c r="Z127" s="43" t="str">
        <x:v>Este contato foi direcionado a um canal corporativo público por possível aderência entre as atividades das empresas. Para não receber novas mensagens da Parts Seals, responda com REMOVER.</x:v>
      </x:c>
      <x:c r="AA127" s="43" t="str">
        <x:v>Sem e-mail</x:v>
      </x:c>
      <x:c r="AB127" s="43" t="str">
        <x:v>Não</x:v>
      </x:c>
      <x:c r="AC127" s="44"/>
      <x:c r="AD127" s="44"/>
      <x:c r="AE127" s="44"/>
      <x:c r="AF127" s="44"/>
      <x:c r="AG127" s="43"/>
      <x:c r="AH127" s="43"/>
      <x:c r="AI127" s="43" t="str">
        <x:v>Não</x:v>
      </x:c>
      <x:c r="AJ127" s="43"/>
      <x:c r="AK127" s="43"/>
      <x:c r="AL127" s="43" t="str">
        <x:v>https://perfildaindustria.portaldaindustria.com.br/estado/tudo/sp</x:v>
      </x:c>
      <x:c r="AM127" s="43" t="str">
        <x:v>Não localizado em fonte pública confiável até 24/07/2026</x:v>
      </x:c>
      <x:c r="AN127" s="43" t="str">
        <x:v>Pesquise a empresa Maxseals Vedações e Componentes Hidráulicos, de São José do Rio Preto/SP,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27" s="43" t="str">
        <x:v>2026-07-24 v1</x:v>
      </x:c>
    </x:row>
    <x:row r="128" ht="72" customHeight="1">
      <x:c r="A128" s="43" t="n">
        <x:v>127</x:v>
      </x:c>
      <x:c r="B128" s="43" t="str">
        <x:v>Rio Preto Vedações</x:v>
      </x:c>
      <x:c r="C128" s="43" t="str">
        <x:v>Distribuidora</x:v>
      </x:c>
      <x:c r="D128" s="43" t="str">
        <x:v>São José do Rio Preto</x:v>
      </x:c>
      <x:c r="E128" s="43" t="str">
        <x:v>SP</x:v>
      </x:c>
      <x:c r="F128" s="43" t="str">
        <x:v>Sudeste</x:v>
      </x:c>
      <x:c r="G128" s="43" t="str">
        <x:v>A - Alta</x:v>
      </x:c>
      <x:c r="H128" s="43" t="str">
        <x:v>Não contatado</x:v>
      </x:c>
      <x:c r="I128" s="43"/>
      <x:c r="J128" s="43" t="str">
        <x:v>Não localizado em fonte pública confiável até 24/07/2026</x:v>
      </x:c>
      <x:c r="K128" s="43" t="str">
        <x:v>Não</x:v>
      </x:c>
      <x:c r="L128" s="43" t="str">
        <x:v>distribuidor de componentes industriais</x:v>
      </x:c>
      <x:c r="M128" s="43" t="str">
        <x:v>máquinas, automotivo, químico, alimentos e manutenção industrial</x:v>
      </x:c>
      <x:c r="N128" s="43" t="str">
        <x:v>reposições industriais, itens fora de linha, medidas especiais e demandas de manutenção</x:v>
      </x:c>
      <x:c r="O128" s="43" t="str">
        <x:v>vedações e componentes sob medida em PTFE, PU, NBR, FKM e materiais técnicos</x:v>
      </x:c>
      <x:c r="P128" s="43" t="str">
        <x:v>complementar o portfólio sem necessidade de estoque amplo, produzindo por desenho ou amostra</x:v>
      </x:c>
      <x:c r="Q128" s="43" t="str">
        <x:v>Segmento da base: Distribuidora; localização: São José do Rio Preto/SP; contexto industrial regional usado apenas como hipótese comercial. Sem e-mail público localizado. Nenhuma afirmação sobre clientes ou aplicações específicas da empresa foi feita sem fonte.</x:v>
      </x:c>
      <x:c r="R128" s="43" t="str">
        <x:v>Baixa</x:v>
      </x:c>
      <x:c r="S128" s="43" t="str">
        <x:v>Sim</x:v>
      </x:c>
      <x:c r="T128" s="43" t="str">
        <x:v>Demandas fora de catálogo na Rio Preto Vedações</x:v>
      </x:c>
      <x:c r="U128" s="43" t="str">
        <x:v>Olá, equipe da Rio Preto Vedações,</x:v>
      </x:c>
      <x:c r="V128" s="43" t="str">
        <x:v>Olá, equipe da Rio Preto Vedações,
Gostaria de apresentar uma possibilidade de apoio complementar à Rio Preto Vedações para peças especiais, urgências e reposições fora de catálogo.
Em São José do Rio Preto/SP, cadeias como máquinas, automotivo, químico, alimentos e manutenção industrial costumam gerar solicitações de vedações especiais, principalmente quando há pressão, desgaste, ataque químico, temperatura ou dificuldade de reposição. Para o perfil de distribuidor de componentes industriais, vemos maior aderência em reposições industriais, itens fora de linha, medidas especiais e demandas de manutenção.
A Parts Seals pode apoiar com vedações e componentes sob medida em PTFE, PU, NBR, FKM e materiais técnicos. A seleção final do material é validada conforme a aplicação; para as demandas mais comuns da região, vale avaliar especialmente PU, NBR, PTFE e FKM. Nosso objetivo é complementar o portfólio sem necessidade de estoque amplo, produzindo por desenho ou amostra.
Há famílias de vedações que seus clientes solicitam, mas que hoje ficam fora do portfólio por baixa recorrência?
Posso encaminhar uma apresentação curta ou avaliar um item real, sem compromisso?
Atenciosamente,
{{NOME_REMETENTE}}
Parts Seals Vedações Industriais
{{TELEFONE_REMETENTE}} | {{SITE_REMETENTE}}</x:v>
      </x:c>
      <x:c r="W128" s="43" t="str">
        <x:v>Olá, equipe da Rio Preto Vedações,
Retomando meu contato: pelo perfil de distribuidora de vocês, acredito que podemos apoiar principalmente em reposições industriais, itens fora de linha, medidas especiais e demandas de manutenção.
Se tiverem uma medida, desenho ou foto de um item difícil de localizar, podemos fazer uma análise inicial e indicar o material mais adequado. Há algum caso em aberto que possamos avaliar?
Atenciosamente,
{{NOME_REMETENTE}}
Parts Seals Vedações Industriais</x:v>
      </x:c>
      <x:c r="X128" s="43" t="str">
        <x:v>Olá, equipe da Rio Preto Vedações,
Encerrando meu contato para não insistir. Caso surja alguma demanda de reposições industriais, itens fora de linha, medidas especiais e demandas de manutenção,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28" s="43" t="str">
        <x:v>Há famílias de vedações que seus clientes solicitam, mas que hoje ficam fora do portfólio por baixa recorrência?</x:v>
      </x:c>
      <x:c r="Z128" s="43" t="str">
        <x:v>Este contato foi direcionado a um canal corporativo público por possível aderência entre as atividades das empresas. Para não receber novas mensagens da Parts Seals, responda com REMOVER.</x:v>
      </x:c>
      <x:c r="AA128" s="43" t="str">
        <x:v>Sem e-mail</x:v>
      </x:c>
      <x:c r="AB128" s="43" t="str">
        <x:v>Não</x:v>
      </x:c>
      <x:c r="AC128" s="44"/>
      <x:c r="AD128" s="44"/>
      <x:c r="AE128" s="44"/>
      <x:c r="AF128" s="44"/>
      <x:c r="AG128" s="43"/>
      <x:c r="AH128" s="43"/>
      <x:c r="AI128" s="43" t="str">
        <x:v>Não</x:v>
      </x:c>
      <x:c r="AJ128" s="43"/>
      <x:c r="AK128" s="43"/>
      <x:c r="AL128" s="43" t="str">
        <x:v>https://perfildaindustria.portaldaindustria.com.br/estado/tudo/sp</x:v>
      </x:c>
      <x:c r="AM128" s="43" t="str">
        <x:v>Não localizado em fonte pública confiável até 24/07/2026</x:v>
      </x:c>
      <x:c r="AN128" s="43" t="str">
        <x:v>Pesquise a empresa Rio Preto Vedações, de São José do Rio Preto/SP,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28" s="43" t="str">
        <x:v>2026-07-24 v1</x:v>
      </x:c>
    </x:row>
    <x:row r="129" ht="72" customHeight="1">
      <x:c r="A129" s="43" t="n">
        <x:v>128</x:v>
      </x:c>
      <x:c r="B129" s="43" t="str">
        <x:v>VedaRio</x:v>
      </x:c>
      <x:c r="C129" s="43" t="str">
        <x:v>Fabricante/Vedações</x:v>
      </x:c>
      <x:c r="D129" s="43" t="str">
        <x:v>São José do Rio Preto</x:v>
      </x:c>
      <x:c r="E129" s="43" t="str">
        <x:v>SP</x:v>
      </x:c>
      <x:c r="F129" s="43" t="str">
        <x:v>Sudeste</x:v>
      </x:c>
      <x:c r="G129" s="43" t="str">
        <x:v>B - Média</x:v>
      </x:c>
      <x:c r="H129" s="43" t="str">
        <x:v>Não contatado</x:v>
      </x:c>
      <x:c r="I129" s="43"/>
      <x:c r="J129" s="43" t="str">
        <x:v>Não localizado em fonte pública confiável até 24/07/2026</x:v>
      </x:c>
      <x:c r="K129" s="43" t="str">
        <x:v>Não</x:v>
      </x:c>
      <x:c r="L129" s="43" t="str">
        <x:v>fabricante ou transformador especializado em vedações</x:v>
      </x:c>
      <x:c r="M129" s="43" t="str">
        <x:v>máquinas, automotivo, químico, alimentos e manutenção industrial</x:v>
      </x:c>
      <x:c r="N129" s="43" t="str">
        <x:v>itens fora de padrão, picos de demanda, protótipos, reposições urgentes e lotes que exigem processo ou material específico</x:v>
      </x:c>
      <x:c r="O129" s="43" t="str">
        <x:v>componentes usinados e moldados em PTFE puro ou carregado, PU, NBR, FKM e materiais técnicos, conforme desenho ou amostra</x:v>
      </x:c>
      <x:c r="P129" s="43" t="str">
        <x:v>atuar como apoio produtivo complementar, preservando a relação comercial de vocês com o cliente final</x:v>
      </x:c>
      <x:c r="Q129" s="43" t="str">
        <x:v>Segmento da base: Fabricante/Vedações; localização: São José do Rio Preto/SP; contexto industrial regional usado apenas como hipótese comercial. Sem e-mail público localizado. Nenhuma afirmação sobre clientes ou aplicações específicas da empresa foi feita sem fonte.</x:v>
      </x:c>
      <x:c r="R129" s="43" t="str">
        <x:v>Baixa</x:v>
      </x:c>
      <x:c r="S129" s="43" t="str">
        <x:v>Sim</x:v>
      </x:c>
      <x:c r="T129" s="43" t="str">
        <x:v>Apoio produtivo para itens especiais — VedaRio</x:v>
      </x:c>
      <x:c r="U129" s="43" t="str">
        <x:v>Olá, equipe da VedaRio,</x:v>
      </x:c>
      <x:c r="V129" s="43" t="str">
        <x:v>Olá, equipe da VedaRio,
Estou entrando em contato porque a atuação da VedaRio em fabricante/vedações tem boa aderência ao tipo de fabricação especial que realizamos na Parts Seals.
Em São José do Rio Preto/SP, cadeias como máquinas, automotivo, químico, alimentos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29" s="43" t="str">
        <x:v>Olá, equipe da VedaRio,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29" s="43" t="str">
        <x:v>Olá, equipe da VedaRio,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29" s="43" t="str">
        <x:v>Existe hoje algum item especial, urgente ou de baixa quantidade que esteja ocupando capacidade ou ficando sem atendimento?</x:v>
      </x:c>
      <x:c r="Z129" s="43" t="str">
        <x:v>Este contato foi direcionado a um canal corporativo público por possível aderência entre as atividades das empresas. Para não receber novas mensagens da Parts Seals, responda com REMOVER.</x:v>
      </x:c>
      <x:c r="AA129" s="43" t="str">
        <x:v>Sem e-mail</x:v>
      </x:c>
      <x:c r="AB129" s="43" t="str">
        <x:v>Não</x:v>
      </x:c>
      <x:c r="AC129" s="44"/>
      <x:c r="AD129" s="44"/>
      <x:c r="AE129" s="44"/>
      <x:c r="AF129" s="44"/>
      <x:c r="AG129" s="43"/>
      <x:c r="AH129" s="43"/>
      <x:c r="AI129" s="43" t="str">
        <x:v>Não</x:v>
      </x:c>
      <x:c r="AJ129" s="43"/>
      <x:c r="AK129" s="43"/>
      <x:c r="AL129" s="43" t="str">
        <x:v>https://perfildaindustria.portaldaindustria.com.br/estado/tudo/sp</x:v>
      </x:c>
      <x:c r="AM129" s="43" t="str">
        <x:v>Não localizado em fonte pública confiável até 24/07/2026</x:v>
      </x:c>
      <x:c r="AN129" s="43" t="str">
        <x:v>Pesquise a empresa VedaRio, de São José do Rio Preto/SP,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29" s="43" t="str">
        <x:v>2026-07-24 v1</x:v>
      </x:c>
    </x:row>
    <x:row r="130" ht="72" customHeight="1">
      <x:c r="A130" s="43" t="n">
        <x:v>129</x:v>
      </x:c>
      <x:c r="B130" s="43" t="str">
        <x:v>BRSeals Vedações Industriais</x:v>
      </x:c>
      <x:c r="C130" s="43" t="str">
        <x:v>Vedações</x:v>
      </x:c>
      <x:c r="D130" s="43" t="str">
        <x:v>São José dos Campos</x:v>
      </x:c>
      <x:c r="E130" s="43" t="str">
        <x:v>SP</x:v>
      </x:c>
      <x:c r="F130" s="43" t="str">
        <x:v>Sudeste</x:v>
      </x:c>
      <x:c r="G130" s="43" t="str">
        <x:v>B - Média</x:v>
      </x:c>
      <x:c r="H130" s="43" t="str">
        <x:v>Não contatado</x:v>
      </x:c>
      <x:c r="I130" s="43"/>
      <x:c r="J130" s="43" t="str">
        <x:v>Não localizado em fonte pública confiável até 24/07/2026</x:v>
      </x:c>
      <x:c r="K130" s="43" t="str">
        <x:v>Não</x:v>
      </x:c>
      <x:c r="L130" s="43" t="str">
        <x:v>especialista ou revenda de vedações industriais</x:v>
      </x:c>
      <x:c r="M130" s="43" t="str">
        <x:v>aeroespacial, automotivo, químico e máquinas de precisão</x:v>
      </x:c>
      <x:c r="N130" s="43" t="str">
        <x:v>gaxetas, raspadores, anéis guia, vedações de haste e pistão, retentores especiais e reposições fora de linha</x:v>
      </x:c>
      <x:c r="O130" s="43" t="str">
        <x:v>peças sob medida em PTFE puro ou carregado, poliuretano, NBR, FKM, nylon e outros materiais técnicos</x:v>
      </x:c>
      <x:c r="P130" s="43" t="str">
        <x:v>complementar o portfólio com itens especiais, pequenas e médias séries, urgências e fabricação por desenho ou amostra</x:v>
      </x:c>
      <x:c r="Q130" s="43" t="str">
        <x:v>Segmento da base: Vedações; localização: São José dos Campos/SP; contexto industrial regional usado apenas como hipótese comercial. Sem e-mail público localizado. Nenhuma afirmação sobre clientes ou aplicações específicas da empresa foi feita sem fonte.</x:v>
      </x:c>
      <x:c r="R130" s="43" t="str">
        <x:v>Baixa</x:v>
      </x:c>
      <x:c r="S130" s="43" t="str">
        <x:v>Sim</x:v>
      </x:c>
      <x:c r="T130" s="43" t="str">
        <x:v>Possível parceria técnica — BRSeals Vedações Industriais e Parts Seals</x:v>
      </x:c>
      <x:c r="U130" s="43" t="str">
        <x:v>Olá, equipe da BRSeals Vedações Industriais,</x:v>
      </x:c>
      <x:c r="V130" s="43" t="str">
        <x:v>Olá, equipe da BRSeals Vedações Industriais,
Ao analisar o perfil da BRSeals Vedações Industriais em São José dos Campos, identifiquei uma possibilidade de parceria para demandas de vedação que não se encaixam bem em linhas padronizadas.
Em São José dos Campos/SP, cadeias como aeroespacial, automotivo, químico e máquinas de precisão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PU, FKM e NBR.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30" s="43" t="str">
        <x:v>Olá, equipe da BRSeals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30" s="43" t="str">
        <x:v>Olá, equipe da BRSeals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30" s="43" t="str">
        <x:v>Vocês recebem consultas de peças especiais que acabam sem atendimento por prazo, material, quantidade ou ausência de desenho?</x:v>
      </x:c>
      <x:c r="Z130" s="43" t="str">
        <x:v>Este contato foi direcionado a um canal corporativo público por possível aderência entre as atividades das empresas. Para não receber novas mensagens da Parts Seals, responda com REMOVER.</x:v>
      </x:c>
      <x:c r="AA130" s="43" t="str">
        <x:v>Sem e-mail</x:v>
      </x:c>
      <x:c r="AB130" s="43" t="str">
        <x:v>Não</x:v>
      </x:c>
      <x:c r="AC130" s="44"/>
      <x:c r="AD130" s="44"/>
      <x:c r="AE130" s="44"/>
      <x:c r="AF130" s="44"/>
      <x:c r="AG130" s="43"/>
      <x:c r="AH130" s="43"/>
      <x:c r="AI130" s="43" t="str">
        <x:v>Não</x:v>
      </x:c>
      <x:c r="AJ130" s="43"/>
      <x:c r="AK130" s="43"/>
      <x:c r="AL130" s="43" t="str">
        <x:v>https://perfildaindustria.portaldaindustria.com.br/estado/tudo/sp</x:v>
      </x:c>
      <x:c r="AM130" s="43" t="str">
        <x:v>Não localizado em fonte pública confiável até 24/07/2026</x:v>
      </x:c>
      <x:c r="AN130" s="43" t="str">
        <x:v>Pesquise a empresa BRSeals Vedações Industriais, de São José dos Campos/SP,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30" s="43" t="str">
        <x:v>2026-07-24 v1</x:v>
      </x:c>
    </x:row>
    <x:row r="131" ht="72" customHeight="1">
      <x:c r="A131" s="43" t="n">
        <x:v>130</x:v>
      </x:c>
      <x:c r="B131" s="43" t="str">
        <x:v>E.Bertti</x:v>
      </x:c>
      <x:c r="C131" s="43" t="str">
        <x:v>Hidráulica/Vedações</x:v>
      </x:c>
      <x:c r="D131" s="43" t="str">
        <x:v>São José dos Campos</x:v>
      </x:c>
      <x:c r="E131" s="43" t="str">
        <x:v>SP</x:v>
      </x:c>
      <x:c r="F131" s="43" t="str">
        <x:v>Sudeste</x:v>
      </x:c>
      <x:c r="G131" s="43" t="str">
        <x:v>B - Média</x:v>
      </x:c>
      <x:c r="H131" s="43" t="str">
        <x:v>Não contatado</x:v>
      </x:c>
      <x:c r="I131" s="43" t="str">
        <x:v>vendas1@ebertti.com</x:v>
      </x:c>
      <x:c r="J131" s="43" t="str">
        <x:v>https://www.instagram.com/p/CjV4XzeOiak/</x:v>
      </x:c>
      <x:c r="K131" s="43" t="str">
        <x:v>Sim</x:v>
      </x:c>
      <x:c r="L131" s="43" t="str">
        <x:v>fornecedor de componentes hidráulicos e vedações</x:v>
      </x:c>
      <x:c r="M131" s="43" t="str">
        <x:v>aeroespacial, automotivo, químico e máquinas de precisão</x:v>
      </x:c>
      <x:c r="N131" s="43" t="str">
        <x:v>gaxetas de haste e pistão, raspadores, anéis guia, vedações rotativas e kits para cilindros hidráulicos</x:v>
      </x:c>
      <x:c r="O131" s="43" t="str">
        <x:v>vedações em PU, PTFE puro ou carregado, NBR e FKM, dimensionadas conforme pressão, velocidade, fluido e temperatura</x:v>
      </x:c>
      <x:c r="P131" s="43" t="str">
        <x:v>apoiar reformas e montagens com peças não padronizadas, reposições antigas e fabricação rápida por amostra ou desenho</x:v>
      </x:c>
      <x:c r="Q131" s="43" t="str">
        <x:v>Segmento da base: Hidráulica/Vedações; localização: São José dos Campos/SP; contexto industrial regional usado apenas como hipótese comercial. Contato publicado em perfil ou diretório institucional. Nenhuma afirmação sobre clientes ou aplicações específicas da empresa foi feita sem fonte.</x:v>
      </x:c>
      <x:c r="R131" s="43" t="str">
        <x:v>Moderada</x:v>
      </x:c>
      <x:c r="S131" s="43" t="str">
        <x:v>Sim</x:v>
      </x:c>
      <x:c r="T131" s="43" t="str">
        <x:v>Gaxetas, raspadores e anéis guia sob medida</x:v>
      </x:c>
      <x:c r="U131" s="43" t="str">
        <x:v>Olá, equipe da E.Bertti,</x:v>
      </x:c>
      <x:c r="V131" s="43" t="str">
        <x:v>Olá, equipe da E.Bertti,
A Parts Seals está ampliando parcerias com empresas técnicas do setor, e o perfil da E.Bertti chamou nossa atenção pela atuação em hidráulica/vedações.
Em São José dos Campos/SP, cadeias como aeroespacial, automotivo, químico e máquinas de precisão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PTFE, PU, FKM e NBR.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131" s="43" t="str">
        <x:v>Olá, equipe da E.Bertti,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131" s="43" t="str">
        <x:v>Olá, equipe da E.Bertti,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31" s="43" t="str">
        <x:v>Há cilindros ou equipamentos para os quais vocês têm dificuldade de localizar a vedação correta ou cumprir o prazo do cliente?</x:v>
      </x:c>
      <x:c r="Z131" s="43" t="str">
        <x:v>Este contato foi direcionado a um canal corporativo público por possível aderência entre as atividades das empresas. Para não receber novas mensagens da Parts Seals, responda com REMOVER.</x:v>
      </x:c>
      <x:c r="AA131" s="43" t="str">
        <x:v>Aguardando aprovação</x:v>
      </x:c>
      <x:c r="AB131" s="43" t="str">
        <x:v>Não</x:v>
      </x:c>
      <x:c r="AC131" s="44"/>
      <x:c r="AD131" s="44"/>
      <x:c r="AE131" s="44"/>
      <x:c r="AF131" s="44"/>
      <x:c r="AG131" s="43"/>
      <x:c r="AH131" s="43"/>
      <x:c r="AI131" s="43" t="str">
        <x:v>Não</x:v>
      </x:c>
      <x:c r="AJ131" s="43"/>
      <x:c r="AK131" s="43"/>
      <x:c r="AL131" s="43" t="str">
        <x:v>https://perfildaindustria.portaldaindustria.com.br/estado/tudo/sp</x:v>
      </x:c>
      <x:c r="AM131" s="43" t="str">
        <x:v>https://www.instagram.com/p/CjV4XzeOiak/</x:v>
      </x:c>
      <x:c r="AN131" s="43" t="str">
        <x:v>Pesquise a empresa E.Bertti, de São José dos Campos/SP,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31" s="43" t="str">
        <x:v>2026-07-24 v1</x:v>
      </x:c>
    </x:row>
    <x:row r="132" ht="72" customHeight="1">
      <x:c r="A132" s="43" t="n">
        <x:v>131</x:v>
      </x:c>
      <x:c r="B132" s="43" t="str">
        <x:v>Silva Vedações</x:v>
      </x:c>
      <x:c r="C132" s="43" t="str">
        <x:v>Vedações</x:v>
      </x:c>
      <x:c r="D132" s="43" t="str">
        <x:v>São José dos Campos</x:v>
      </x:c>
      <x:c r="E132" s="43" t="str">
        <x:v>SP</x:v>
      </x:c>
      <x:c r="F132" s="43" t="str">
        <x:v>Sudeste</x:v>
      </x:c>
      <x:c r="G132" s="43" t="str">
        <x:v>Sem dados - qualificar</x:v>
      </x:c>
      <x:c r="H132" s="43" t="str">
        <x:v>Não contatado</x:v>
      </x:c>
      <x:c r="I132" s="43"/>
      <x:c r="J132" s="43" t="str">
        <x:v>Não localizado em fonte pública confiável até 24/07/2026</x:v>
      </x:c>
      <x:c r="K132" s="43" t="str">
        <x:v>Não</x:v>
      </x:c>
      <x:c r="L132" s="43" t="str">
        <x:v>especialista ou revenda de vedações industriais</x:v>
      </x:c>
      <x:c r="M132" s="43" t="str">
        <x:v>aeroespacial, automotivo, químico e máquinas de precisão</x:v>
      </x:c>
      <x:c r="N132" s="43" t="str">
        <x:v>gaxetas, raspadores, anéis guia, vedações de haste e pistão, retentores especiais e reposições fora de linha</x:v>
      </x:c>
      <x:c r="O132" s="43" t="str">
        <x:v>peças sob medida em PTFE puro ou carregado, poliuretano, NBR, FKM, nylon e outros materiais técnicos</x:v>
      </x:c>
      <x:c r="P132" s="43" t="str">
        <x:v>complementar o portfólio com itens especiais, pequenas e médias séries, urgências e fabricação por desenho ou amostra</x:v>
      </x:c>
      <x:c r="Q132" s="43" t="str">
        <x:v>Segmento da base: Vedações; localização: São José dos Campos/SP; contexto industrial regional usado apenas como hipótese comercial. Sem e-mail público localizado. Nenhuma afirmação sobre clientes ou aplicações específicas da empresa foi feita sem fonte.</x:v>
      </x:c>
      <x:c r="R132" s="43" t="str">
        <x:v>Baixa</x:v>
      </x:c>
      <x:c r="S132" s="43" t="str">
        <x:v>Sim</x:v>
      </x:c>
      <x:c r="T132" s="43" t="str">
        <x:v>Demandas fora de catálogo na Silva Vedações</x:v>
      </x:c>
      <x:c r="U132" s="43" t="str">
        <x:v>Olá, equipe da Silva Vedações,</x:v>
      </x:c>
      <x:c r="V132" s="43" t="str">
        <x:v>Olá, equipe da Silva Vedações,
Gostaria de apresentar uma possibilidade de apoio complementar à Silva Vedações para peças especiais, urgências e reposições fora de catálogo.
Em São José dos Campos/SP, cadeias como aeroespacial, automotivo, químico e máquinas de precisão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PU, FKM e NBR.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32" s="43" t="str">
        <x:v>Olá, equipe da Silva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32" s="43" t="str">
        <x:v>Olá, equipe da Silva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32" s="43" t="str">
        <x:v>Vocês recebem consultas de peças especiais que acabam sem atendimento por prazo, material, quantidade ou ausência de desenho?</x:v>
      </x:c>
      <x:c r="Z132" s="43" t="str">
        <x:v>Este contato foi direcionado a um canal corporativo público por possível aderência entre as atividades das empresas. Para não receber novas mensagens da Parts Seals, responda com REMOVER.</x:v>
      </x:c>
      <x:c r="AA132" s="43" t="str">
        <x:v>Sem e-mail</x:v>
      </x:c>
      <x:c r="AB132" s="43" t="str">
        <x:v>Não</x:v>
      </x:c>
      <x:c r="AC132" s="44"/>
      <x:c r="AD132" s="44"/>
      <x:c r="AE132" s="44"/>
      <x:c r="AF132" s="44"/>
      <x:c r="AG132" s="43"/>
      <x:c r="AH132" s="43"/>
      <x:c r="AI132" s="43" t="str">
        <x:v>Não</x:v>
      </x:c>
      <x:c r="AJ132" s="43"/>
      <x:c r="AK132" s="43"/>
      <x:c r="AL132" s="43" t="str">
        <x:v>https://perfildaindustria.portaldaindustria.com.br/estado/tudo/sp</x:v>
      </x:c>
      <x:c r="AM132" s="43" t="str">
        <x:v>Não localizado em fonte pública confiável até 24/07/2026</x:v>
      </x:c>
      <x:c r="AN132" s="43" t="str">
        <x:v>Pesquise a empresa Silva Vedações, de São José dos Campos/SP,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32" s="43" t="str">
        <x:v>2026-07-24 v1</x:v>
      </x:c>
    </x:row>
    <x:row r="133" ht="72" customHeight="1">
      <x:c r="A133" s="43" t="n">
        <x:v>132</x:v>
      </x:c>
      <x:c r="B133" s="43" t="str">
        <x:v>TMS Vedações</x:v>
      </x:c>
      <x:c r="C133" s="43" t="str">
        <x:v>Fabricante/Vedações</x:v>
      </x:c>
      <x:c r="D133" s="43" t="str">
        <x:v>São José dos Campos</x:v>
      </x:c>
      <x:c r="E133" s="43" t="str">
        <x:v>SP</x:v>
      </x:c>
      <x:c r="F133" s="43" t="str">
        <x:v>Sudeste</x:v>
      </x:c>
      <x:c r="G133" s="43" t="str">
        <x:v>B - Média</x:v>
      </x:c>
      <x:c r="H133" s="43" t="str">
        <x:v>Não contatado</x:v>
      </x:c>
      <x:c r="I133" s="43"/>
      <x:c r="J133" s="43" t="str">
        <x:v>Não localizado em fonte pública confiável até 24/07/2026</x:v>
      </x:c>
      <x:c r="K133" s="43" t="str">
        <x:v>Não</x:v>
      </x:c>
      <x:c r="L133" s="43" t="str">
        <x:v>fabricante ou transformador especializado em vedações</x:v>
      </x:c>
      <x:c r="M133" s="43" t="str">
        <x:v>aeroespacial, automotivo, químico e máquinas de precisão</x:v>
      </x:c>
      <x:c r="N133" s="43" t="str">
        <x:v>itens fora de padrão, picos de demanda, protótipos, reposições urgentes e lotes que exigem processo ou material específico</x:v>
      </x:c>
      <x:c r="O133" s="43" t="str">
        <x:v>componentes usinados e moldados em PTFE puro ou carregado, PU, NBR, FKM e materiais técnicos, conforme desenho ou amostra</x:v>
      </x:c>
      <x:c r="P133" s="43" t="str">
        <x:v>atuar como apoio produtivo complementar, preservando a relação comercial de vocês com o cliente final</x:v>
      </x:c>
      <x:c r="Q133" s="43" t="str">
        <x:v>Segmento da base: Fabricante/Vedações; localização: São José dos Campos/SP; contexto industrial regional usado apenas como hipótese comercial. Sem e-mail público localizado. Nenhuma afirmação sobre clientes ou aplicações específicas da empresa foi feita sem fonte.</x:v>
      </x:c>
      <x:c r="R133" s="43" t="str">
        <x:v>Baixa</x:v>
      </x:c>
      <x:c r="S133" s="43" t="str">
        <x:v>Sim</x:v>
      </x:c>
      <x:c r="T133" s="43" t="str">
        <x:v>Apoio produtivo para itens especiais — TMS Vedações</x:v>
      </x:c>
      <x:c r="U133" s="43" t="str">
        <x:v>Olá, equipe da TMS Vedações,</x:v>
      </x:c>
      <x:c r="V133" s="43" t="str">
        <x:v>Olá, equipe da TMS Vedações,
Estou entrando em contato porque a atuação da TMS Vedações em fabricante/vedações tem boa aderência ao tipo de fabricação especial que realizamos na Parts Seals.
Em São José dos Campos/SP, cadeias como aeroespacial, automotivo, químico e máquinas de precisão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PTFE, PU, FKM e NBR.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33" s="43" t="str">
        <x:v>Olá, equipe da TMS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33" s="43" t="str">
        <x:v>Olá, equipe da TMS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33" s="43" t="str">
        <x:v>Existe hoje algum item especial, urgente ou de baixa quantidade que esteja ocupando capacidade ou ficando sem atendimento?</x:v>
      </x:c>
      <x:c r="Z133" s="43" t="str">
        <x:v>Este contato foi direcionado a um canal corporativo público por possível aderência entre as atividades das empresas. Para não receber novas mensagens da Parts Seals, responda com REMOVER.</x:v>
      </x:c>
      <x:c r="AA133" s="43" t="str">
        <x:v>Sem e-mail</x:v>
      </x:c>
      <x:c r="AB133" s="43" t="str">
        <x:v>Não</x:v>
      </x:c>
      <x:c r="AC133" s="44"/>
      <x:c r="AD133" s="44"/>
      <x:c r="AE133" s="44"/>
      <x:c r="AF133" s="44"/>
      <x:c r="AG133" s="43"/>
      <x:c r="AH133" s="43"/>
      <x:c r="AI133" s="43" t="str">
        <x:v>Não</x:v>
      </x:c>
      <x:c r="AJ133" s="43"/>
      <x:c r="AK133" s="43"/>
      <x:c r="AL133" s="43" t="str">
        <x:v>https://perfildaindustria.portaldaindustria.com.br/estado/tudo/sp</x:v>
      </x:c>
      <x:c r="AM133" s="43" t="str">
        <x:v>Não localizado em fonte pública confiável até 24/07/2026</x:v>
      </x:c>
      <x:c r="AN133" s="43" t="str">
        <x:v>Pesquise a empresa TMS Vedações, de São José dos Campos/SP,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33" s="43" t="str">
        <x:v>2026-07-24 v1</x:v>
      </x:c>
    </x:row>
    <x:row r="134" ht="72" customHeight="1">
      <x:c r="A134" s="43" t="n">
        <x:v>133</x:v>
      </x:c>
      <x:c r="B134" s="43" t="str">
        <x:v>BGS Distribuidora e Importadora de Rolamentos</x:v>
      </x:c>
      <x:c r="C134" s="43" t="str">
        <x:v>Rolamentos/Vedações</x:v>
      </x:c>
      <x:c r="D134" s="43" t="str">
        <x:v>São Paulo</x:v>
      </x:c>
      <x:c r="E134" s="43" t="str">
        <x:v>SP</x:v>
      </x:c>
      <x:c r="F134" s="43" t="str">
        <x:v>Sudeste</x:v>
      </x:c>
      <x:c r="G134" s="43" t="str">
        <x:v>C - Baixa</x:v>
      </x:c>
      <x:c r="H134" s="43" t="str">
        <x:v>Não contatado</x:v>
      </x:c>
      <x:c r="I134" s="43"/>
      <x:c r="J134" s="43" t="str">
        <x:v>Não localizado em fonte pública confiável até 24/07/2026</x:v>
      </x:c>
      <x:c r="K134" s="43" t="str">
        <x:v>Não</x:v>
      </x:c>
      <x:c r="L134" s="43" t="str">
        <x:v>distribuidor de rolamentos, retentores e vedações</x:v>
      </x:c>
      <x:c r="M134" s="43" t="str">
        <x:v>máquinas, automotivo, químico, alimentos e manutenção industrial</x:v>
      </x:c>
      <x:c r="N134" s="43" t="str">
        <x:v>retentores especiais, anéis, vedações rotativas, kits e componentes para manutenção de máquinas</x:v>
      </x:c>
      <x:c r="O134" s="43" t="str">
        <x:v>peças especiais em NBR, FKM, PU e PTFE, inclusive medidas fora de catálogo</x:v>
      </x:c>
      <x:c r="P134" s="43" t="str">
        <x:v>complementar a linha padronizada com reposições especiais e itens descontinuados</x:v>
      </x:c>
      <x:c r="Q134" s="43" t="str">
        <x:v>Segmento da base: Rolamentos/Vedações; localização: São Paulo/SP; contexto industrial regional usado apenas como hipótese comercial. Sem e-mail público localizado. Nenhuma afirmação sobre clientes ou aplicações específicas da empresa foi feita sem fonte.</x:v>
      </x:c>
      <x:c r="R134" s="43" t="str">
        <x:v>Baixa</x:v>
      </x:c>
      <x:c r="S134" s="43" t="str">
        <x:v>Sim</x:v>
      </x:c>
      <x:c r="T134" s="43" t="str">
        <x:v>Medidas fora de catálogo — apoio Parts Seals</x:v>
      </x:c>
      <x:c r="U134" s="43" t="str">
        <x:v>Olá, equipe da BGS Distribuidora e Importadora de Rolamentos,</x:v>
      </x:c>
      <x:c r="V134" s="43" t="str">
        <x:v>Olá, equipe da BGS Distribuidora e Importadora de Rolamentos,
Ao analisar o perfil da BGS Distribuidora e Importadora de Rolamentos em São Paulo, identifiquei uma possibilidade de parceria para demandas de vedação que não se encaixam bem em linhas padronizadas.
Em São Paulo/SP, cadeias como máquinas, automotivo, químico, alimentos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NBR,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134" s="43" t="str">
        <x:v>Olá, equipe da BGS Distribuidora e Importadora de Rolamentos,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134" s="43" t="str">
        <x:v>Olá, equipe da BGS Distribuidora e Importadora de Rolamentos,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34" s="43" t="str">
        <x:v>Vocês têm pedidos de retentores ou vedações em medidas especiais que não encontram nos catálogos tradicionais?</x:v>
      </x:c>
      <x:c r="Z134" s="43" t="str">
        <x:v>Este contato foi direcionado a um canal corporativo público por possível aderência entre as atividades das empresas. Para não receber novas mensagens da Parts Seals, responda com REMOVER.</x:v>
      </x:c>
      <x:c r="AA134" s="43" t="str">
        <x:v>Sem e-mail</x:v>
      </x:c>
      <x:c r="AB134" s="43" t="str">
        <x:v>Não</x:v>
      </x:c>
      <x:c r="AC134" s="44"/>
      <x:c r="AD134" s="44"/>
      <x:c r="AE134" s="44"/>
      <x:c r="AF134" s="44"/>
      <x:c r="AG134" s="43"/>
      <x:c r="AH134" s="43"/>
      <x:c r="AI134" s="43" t="str">
        <x:v>Não</x:v>
      </x:c>
      <x:c r="AJ134" s="43"/>
      <x:c r="AK134" s="43"/>
      <x:c r="AL134" s="43" t="str">
        <x:v>https://perfildaindustria.portaldaindustria.com.br/estado/tudo/sp</x:v>
      </x:c>
      <x:c r="AM134" s="43" t="str">
        <x:v>Não localizado em fonte pública confiável até 24/07/2026</x:v>
      </x:c>
      <x:c r="AN134" s="43" t="str">
        <x:v>Pesquise a empresa BGS Distribuidora e Importadora de Rolamentos,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34" s="43" t="str">
        <x:v>2026-07-24 v1</x:v>
      </x:c>
    </x:row>
    <x:row r="135" ht="72" customHeight="1">
      <x:c r="A135" s="43" t="n">
        <x:v>134</x:v>
      </x:c>
      <x:c r="B135" s="43" t="str">
        <x:v>Brasil Vedações</x:v>
      </x:c>
      <x:c r="C135" s="43" t="str">
        <x:v>Vedações</x:v>
      </x:c>
      <x:c r="D135" s="43" t="str">
        <x:v>São Paulo</x:v>
      </x:c>
      <x:c r="E135" s="43" t="str">
        <x:v>SP</x:v>
      </x:c>
      <x:c r="F135" s="43" t="str">
        <x:v>Sudeste</x:v>
      </x:c>
      <x:c r="G135" s="43" t="str">
        <x:v>A - Alta</x:v>
      </x:c>
      <x:c r="H135" s="43" t="str">
        <x:v>Não contatado</x:v>
      </x:c>
      <x:c r="I135" s="43" t="str">
        <x:v>brasilvedacoes@brasilvedacoes.com.br</x:v>
      </x:c>
      <x:c r="J135" s="43" t="str">
        <x:v>https://www.brasilvedacoes.com.br/contato</x:v>
      </x:c>
      <x:c r="K135" s="43" t="str">
        <x:v>Sim</x:v>
      </x:c>
      <x:c r="L135" s="43" t="str">
        <x:v>especialista ou revenda de vedações industriais</x:v>
      </x:c>
      <x:c r="M135" s="43" t="str">
        <x:v>máquinas, automotivo, químico, alimentos e manutenção industrial</x:v>
      </x:c>
      <x:c r="N135" s="43" t="str">
        <x:v>gaxetas, raspadores, anéis guia, vedações de haste e pistão, retentores especiais e reposições fora de linha</x:v>
      </x:c>
      <x:c r="O135" s="43" t="str">
        <x:v>peças sob medida em PTFE puro ou carregado, poliuretano, NBR, FKM, nylon e outros materiais técnicos</x:v>
      </x:c>
      <x:c r="P135" s="43" t="str">
        <x:v>complementar o portfólio com itens especiais, pequenas e médias séries, urgências e fabricação por desenho ou amostra</x:v>
      </x:c>
      <x:c r="Q135" s="43" t="str">
        <x:v>Segmento da base: Vedações; localização: São Paulo/SP; contexto industrial regional usado apenas como hipótese comercial. Domínio do e-mail coincide com a fonte oficial. Nenhuma afirmação sobre clientes ou aplicações específicas da empresa foi feita sem fonte.</x:v>
      </x:c>
      <x:c r="R135" s="43" t="str">
        <x:v>Alta</x:v>
      </x:c>
      <x:c r="S135" s="43" t="str">
        <x:v>Recomendada</x:v>
      </x:c>
      <x:c r="T135" s="43" t="str">
        <x:v>Apoio em vedações sob medida para a Brasil Vedações</x:v>
      </x:c>
      <x:c r="U135" s="43" t="str">
        <x:v>Olá, equipe da Brasil Vedações,</x:v>
      </x:c>
      <x:c r="V135" s="43" t="str">
        <x:v>Olá, equipe da Brasil Vedações,
A Parts Seals está ampliando parcerias com empresas técnicas do setor, e o perfil da Brasil Vedações chamou nossa atenção pela atuação em vedações.
Em São Paulo/SP,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35" s="43" t="str">
        <x:v>Olá, equipe da Brasil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35" s="43" t="str">
        <x:v>Olá, equipe da Brasil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35" s="43" t="str">
        <x:v>Vocês recebem consultas de peças especiais que acabam sem atendimento por prazo, material, quantidade ou ausência de desenho?</x:v>
      </x:c>
      <x:c r="Z135" s="43" t="str">
        <x:v>Este contato foi direcionado a um canal corporativo público por possível aderência entre as atividades das empresas. Para não receber novas mensagens da Parts Seals, responda com REMOVER.</x:v>
      </x:c>
      <x:c r="AA135" s="43" t="str">
        <x:v>Aguardando aprovação</x:v>
      </x:c>
      <x:c r="AB135" s="43" t="str">
        <x:v>Não</x:v>
      </x:c>
      <x:c r="AC135" s="44"/>
      <x:c r="AD135" s="44"/>
      <x:c r="AE135" s="44"/>
      <x:c r="AF135" s="44"/>
      <x:c r="AG135" s="43"/>
      <x:c r="AH135" s="43"/>
      <x:c r="AI135" s="43" t="str">
        <x:v>Não</x:v>
      </x:c>
      <x:c r="AJ135" s="43"/>
      <x:c r="AK135" s="43"/>
      <x:c r="AL135" s="43" t="str">
        <x:v>https://perfildaindustria.portaldaindustria.com.br/estado/tudo/sp</x:v>
      </x:c>
      <x:c r="AM135" s="43" t="str">
        <x:v>https://www.brasilvedacoes.com.br/contato</x:v>
      </x:c>
      <x:c r="AN135" s="43" t="str">
        <x:v>Pesquise a empresa Brasil Vedações,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35" s="43" t="str">
        <x:v>2026-07-24 v1</x:v>
      </x:c>
    </x:row>
    <x:row r="136" ht="72" customHeight="1">
      <x:c r="A136" s="43" t="n">
        <x:v>135</x:v>
      </x:c>
      <x:c r="B136" s="43" t="str">
        <x:v>Dinamarca Rolamentos</x:v>
      </x:c>
      <x:c r="C136" s="43" t="str">
        <x:v>Rolamentos/Vedações</x:v>
      </x:c>
      <x:c r="D136" s="43" t="str">
        <x:v>São Paulo</x:v>
      </x:c>
      <x:c r="E136" s="43" t="str">
        <x:v>SP</x:v>
      </x:c>
      <x:c r="F136" s="43" t="str">
        <x:v>Sudeste</x:v>
      </x:c>
      <x:c r="G136" s="43" t="str">
        <x:v>B - Média</x:v>
      </x:c>
      <x:c r="H136" s="43" t="str">
        <x:v>Não contatado</x:v>
      </x:c>
      <x:c r="I136" s="43" t="str">
        <x:v>contato@dinamarcarolamentos.com.br</x:v>
      </x:c>
      <x:c r="J136" s="43" t="str">
        <x:v>https://dinamarcarolamentos.com.br/contato/19</x:v>
      </x:c>
      <x:c r="K136" s="43" t="str">
        <x:v>Sim</x:v>
      </x:c>
      <x:c r="L136" s="43" t="str">
        <x:v>distribuidor de rolamentos, retentores e vedações</x:v>
      </x:c>
      <x:c r="M136" s="43" t="str">
        <x:v>máquinas, automotivo, químico, alimentos e manutenção industrial</x:v>
      </x:c>
      <x:c r="N136" s="43" t="str">
        <x:v>retentores especiais, anéis, vedações rotativas, kits e componentes para manutenção de máquinas</x:v>
      </x:c>
      <x:c r="O136" s="43" t="str">
        <x:v>peças especiais em NBR, FKM, PU e PTFE, inclusive medidas fora de catálogo</x:v>
      </x:c>
      <x:c r="P136" s="43" t="str">
        <x:v>complementar a linha padronizada com reposições especiais e itens descontinuados</x:v>
      </x:c>
      <x:c r="Q136" s="43" t="str">
        <x:v>Segmento da base: Rolamentos/Vedações; localização: São Paulo/SP; contexto industrial regional usado apenas como hipótese comercial. Domínio do e-mail coincide com a fonte oficial. Nenhuma afirmação sobre clientes ou aplicações específicas da empresa foi feita sem fonte.</x:v>
      </x:c>
      <x:c r="R136" s="43" t="str">
        <x:v>Alta</x:v>
      </x:c>
      <x:c r="S136" s="43" t="str">
        <x:v>Recomendada</x:v>
      </x:c>
      <x:c r="T136" s="43" t="str">
        <x:v>Reposições especiais e itens descontinuados</x:v>
      </x:c>
      <x:c r="U136" s="43" t="str">
        <x:v>Olá, equipe da Dinamarca Rolamentos,</x:v>
      </x:c>
      <x:c r="V136" s="43" t="str">
        <x:v>Olá, equipe da Dinamarca Rolamentos,
Gostaria de apresentar uma possibilidade de apoio complementar à Dinamarca Rolamentos para peças especiais, urgências e reposições fora de catálogo.
Em São Paulo/SP, cadeias como máquinas, automotivo, químico, alimentos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NBR,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136" s="43" t="str">
        <x:v>Olá, equipe da Dinamarca Rolamentos,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136" s="43" t="str">
        <x:v>Olá, equipe da Dinamarca Rolamentos,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36" s="43" t="str">
        <x:v>Vocês têm pedidos de retentores ou vedações em medidas especiais que não encontram nos catálogos tradicionais?</x:v>
      </x:c>
      <x:c r="Z136" s="43" t="str">
        <x:v>Este contato foi direcionado a um canal corporativo público por possível aderência entre as atividades das empresas. Para não receber novas mensagens da Parts Seals, responda com REMOVER.</x:v>
      </x:c>
      <x:c r="AA136" s="43" t="str">
        <x:v>Aguardando aprovação</x:v>
      </x:c>
      <x:c r="AB136" s="43" t="str">
        <x:v>Não</x:v>
      </x:c>
      <x:c r="AC136" s="44"/>
      <x:c r="AD136" s="44"/>
      <x:c r="AE136" s="44"/>
      <x:c r="AF136" s="44"/>
      <x:c r="AG136" s="43"/>
      <x:c r="AH136" s="43"/>
      <x:c r="AI136" s="43" t="str">
        <x:v>Não</x:v>
      </x:c>
      <x:c r="AJ136" s="43"/>
      <x:c r="AK136" s="43"/>
      <x:c r="AL136" s="43" t="str">
        <x:v>https://perfildaindustria.portaldaindustria.com.br/estado/tudo/sp</x:v>
      </x:c>
      <x:c r="AM136" s="43" t="str">
        <x:v>https://dinamarcarolamentos.com.br/contato/19</x:v>
      </x:c>
      <x:c r="AN136" s="43" t="str">
        <x:v>Pesquise a empresa Dinamarca Rolamentos,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36" s="43" t="str">
        <x:v>2026-07-24 v1</x:v>
      </x:c>
    </x:row>
    <x:row r="137" ht="72" customHeight="1">
      <x:c r="A137" s="43" t="n">
        <x:v>136</x:v>
      </x:c>
      <x:c r="B137" s="43" t="str">
        <x:v>Encrol Rolamentos e Peças Industriais</x:v>
      </x:c>
      <x:c r="C137" s="43" t="str">
        <x:v>Rolamentos/Vedações</x:v>
      </x:c>
      <x:c r="D137" s="43" t="str">
        <x:v>São Paulo</x:v>
      </x:c>
      <x:c r="E137" s="43" t="str">
        <x:v>SP</x:v>
      </x:c>
      <x:c r="F137" s="43" t="str">
        <x:v>Sudeste</x:v>
      </x:c>
      <x:c r="G137" s="43" t="str">
        <x:v>A - Alta</x:v>
      </x:c>
      <x:c r="H137" s="43" t="str">
        <x:v>Não contatado</x:v>
      </x:c>
      <x:c r="I137" s="43"/>
      <x:c r="J137" s="43" t="str">
        <x:v>Não localizado em fonte pública confiável até 24/07/2026</x:v>
      </x:c>
      <x:c r="K137" s="43" t="str">
        <x:v>Não</x:v>
      </x:c>
      <x:c r="L137" s="43" t="str">
        <x:v>distribuidor de rolamentos, retentores e vedações</x:v>
      </x:c>
      <x:c r="M137" s="43" t="str">
        <x:v>máquinas, automotivo, químico, alimentos e manutenção industrial</x:v>
      </x:c>
      <x:c r="N137" s="43" t="str">
        <x:v>retentores especiais, anéis, vedações rotativas, kits e componentes para manutenção de máquinas</x:v>
      </x:c>
      <x:c r="O137" s="43" t="str">
        <x:v>peças especiais em NBR, FKM, PU e PTFE, inclusive medidas fora de catálogo</x:v>
      </x:c>
      <x:c r="P137" s="43" t="str">
        <x:v>complementar a linha padronizada com reposições especiais e itens descontinuados</x:v>
      </x:c>
      <x:c r="Q137" s="43" t="str">
        <x:v>Segmento da base: Rolamentos/Vedações; localização: São Paulo/SP; contexto industrial regional usado apenas como hipótese comercial. Sem e-mail público localizado. Nenhuma afirmação sobre clientes ou aplicações específicas da empresa foi feita sem fonte.</x:v>
      </x:c>
      <x:c r="R137" s="43" t="str">
        <x:v>Baixa</x:v>
      </x:c>
      <x:c r="S137" s="43" t="str">
        <x:v>Sim</x:v>
      </x:c>
      <x:c r="T137" s="43" t="str">
        <x:v>Retentores e vedações especiais para a Encrol Rolamentos e Peças Industriais</x:v>
      </x:c>
      <x:c r="U137" s="43" t="str">
        <x:v>Olá, equipe da Encrol Rolamentos e Peças Industriais,</x:v>
      </x:c>
      <x:c r="V137" s="43" t="str">
        <x:v>Olá, equipe da Encrol Rolamentos e Peças Industriais,
Estou entrando em contato porque a atuação da Encrol Rolamentos e Peças Industriais em rolamentos/vedações tem boa aderência ao tipo de fabricação especial que realizamos na Parts Seals.
Em São Paulo/SP, cadeias como máquinas, automotivo, químico, alimentos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NBR,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137" s="43" t="str">
        <x:v>Olá, equipe da Encrol Rolamentos e Peças Industriais,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137" s="43" t="str">
        <x:v>Olá, equipe da Encrol Rolamentos e Peças Industriais,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37" s="43" t="str">
        <x:v>Vocês têm pedidos de retentores ou vedações em medidas especiais que não encontram nos catálogos tradicionais?</x:v>
      </x:c>
      <x:c r="Z137" s="43" t="str">
        <x:v>Este contato foi direcionado a um canal corporativo público por possível aderência entre as atividades das empresas. Para não receber novas mensagens da Parts Seals, responda com REMOVER.</x:v>
      </x:c>
      <x:c r="AA137" s="43" t="str">
        <x:v>Sem e-mail</x:v>
      </x:c>
      <x:c r="AB137" s="43" t="str">
        <x:v>Não</x:v>
      </x:c>
      <x:c r="AC137" s="44"/>
      <x:c r="AD137" s="44"/>
      <x:c r="AE137" s="44"/>
      <x:c r="AF137" s="44"/>
      <x:c r="AG137" s="43"/>
      <x:c r="AH137" s="43"/>
      <x:c r="AI137" s="43" t="str">
        <x:v>Não</x:v>
      </x:c>
      <x:c r="AJ137" s="43"/>
      <x:c r="AK137" s="43"/>
      <x:c r="AL137" s="43" t="str">
        <x:v>https://perfildaindustria.portaldaindustria.com.br/estado/tudo/sp</x:v>
      </x:c>
      <x:c r="AM137" s="43" t="str">
        <x:v>Não localizado em fonte pública confiável até 24/07/2026</x:v>
      </x:c>
      <x:c r="AN137" s="43" t="str">
        <x:v>Pesquise a empresa Encrol Rolamentos e Peças Industriais,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37" s="43" t="str">
        <x:v>2026-07-24 v1</x:v>
      </x:c>
    </x:row>
    <x:row r="138" ht="72" customHeight="1">
      <x:c r="A138" s="43" t="n">
        <x:v>137</x:v>
      </x:c>
      <x:c r="B138" s="43" t="str">
        <x:v>Império Distribuidora de Rolamentos</x:v>
      </x:c>
      <x:c r="C138" s="43" t="str">
        <x:v>Rolamentos/Vedações</x:v>
      </x:c>
      <x:c r="D138" s="43" t="str">
        <x:v>São Paulo</x:v>
      </x:c>
      <x:c r="E138" s="43" t="str">
        <x:v>SP</x:v>
      </x:c>
      <x:c r="F138" s="43" t="str">
        <x:v>Sudeste</x:v>
      </x:c>
      <x:c r="G138" s="43" t="str">
        <x:v>B - Média</x:v>
      </x:c>
      <x:c r="H138" s="43" t="str">
        <x:v>Não contatado</x:v>
      </x:c>
      <x:c r="I138" s="43"/>
      <x:c r="J138" s="43" t="str">
        <x:v>Não localizado em fonte pública confiável até 24/07/2026</x:v>
      </x:c>
      <x:c r="K138" s="43" t="str">
        <x:v>Não</x:v>
      </x:c>
      <x:c r="L138" s="43" t="str">
        <x:v>distribuidor de rolamentos, retentores e vedações</x:v>
      </x:c>
      <x:c r="M138" s="43" t="str">
        <x:v>máquinas, automotivo, químico, alimentos e manutenção industrial</x:v>
      </x:c>
      <x:c r="N138" s="43" t="str">
        <x:v>retentores especiais, anéis, vedações rotativas, kits e componentes para manutenção de máquinas</x:v>
      </x:c>
      <x:c r="O138" s="43" t="str">
        <x:v>peças especiais em NBR, FKM, PU e PTFE, inclusive medidas fora de catálogo</x:v>
      </x:c>
      <x:c r="P138" s="43" t="str">
        <x:v>complementar a linha padronizada com reposições especiais e itens descontinuados</x:v>
      </x:c>
      <x:c r="Q138" s="43" t="str">
        <x:v>Segmento da base: Rolamentos/Vedações; localização: São Paulo/SP; contexto industrial regional usado apenas como hipótese comercial. Sem e-mail público localizado. Nenhuma afirmação sobre clientes ou aplicações específicas da empresa foi feita sem fonte.</x:v>
      </x:c>
      <x:c r="R138" s="43" t="str">
        <x:v>Baixa</x:v>
      </x:c>
      <x:c r="S138" s="43" t="str">
        <x:v>Sim</x:v>
      </x:c>
      <x:c r="T138" s="43" t="str">
        <x:v>Medidas fora de catálogo — apoio Parts Seals</x:v>
      </x:c>
      <x:c r="U138" s="43" t="str">
        <x:v>Olá, equipe da Império Distribuidora de Rolamentos,</x:v>
      </x:c>
      <x:c r="V138" s="43" t="str">
        <x:v>Olá, equipe da Império Distribuidora de Rolamentos,
Ao analisar o perfil da Império Distribuidora de Rolamentos em São Paulo, identifiquei uma possibilidade de parceria para demandas de vedação que não se encaixam bem em linhas padronizadas.
Em São Paulo/SP, cadeias como máquinas, automotivo, químico, alimentos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NBR,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138" s="43" t="str">
        <x:v>Olá, equipe da Império Distribuidora de Rolamentos,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138" s="43" t="str">
        <x:v>Olá, equipe da Império Distribuidora de Rolamentos,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38" s="43" t="str">
        <x:v>Vocês têm pedidos de retentores ou vedações em medidas especiais que não encontram nos catálogos tradicionais?</x:v>
      </x:c>
      <x:c r="Z138" s="43" t="str">
        <x:v>Este contato foi direcionado a um canal corporativo público por possível aderência entre as atividades das empresas. Para não receber novas mensagens da Parts Seals, responda com REMOVER.</x:v>
      </x:c>
      <x:c r="AA138" s="43" t="str">
        <x:v>Sem e-mail</x:v>
      </x:c>
      <x:c r="AB138" s="43" t="str">
        <x:v>Não</x:v>
      </x:c>
      <x:c r="AC138" s="44"/>
      <x:c r="AD138" s="44"/>
      <x:c r="AE138" s="44"/>
      <x:c r="AF138" s="44"/>
      <x:c r="AG138" s="43"/>
      <x:c r="AH138" s="43"/>
      <x:c r="AI138" s="43" t="str">
        <x:v>Não</x:v>
      </x:c>
      <x:c r="AJ138" s="43"/>
      <x:c r="AK138" s="43"/>
      <x:c r="AL138" s="43" t="str">
        <x:v>https://perfildaindustria.portaldaindustria.com.br/estado/tudo/sp</x:v>
      </x:c>
      <x:c r="AM138" s="43" t="str">
        <x:v>Não localizado em fonte pública confiável até 24/07/2026</x:v>
      </x:c>
      <x:c r="AN138" s="43" t="str">
        <x:v>Pesquise a empresa Império Distribuidora de Rolamentos,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38" s="43" t="str">
        <x:v>2026-07-24 v1</x:v>
      </x:c>
    </x:row>
    <x:row r="139" ht="72" customHeight="1">
      <x:c r="A139" s="43" t="n">
        <x:v>138</x:v>
      </x:c>
      <x:c r="B139" s="43" t="str">
        <x:v>Mult Rubber Vedações Industriais</x:v>
      </x:c>
      <x:c r="C139" s="43" t="str">
        <x:v>Vedações</x:v>
      </x:c>
      <x:c r="D139" s="43" t="str">
        <x:v>São Paulo</x:v>
      </x:c>
      <x:c r="E139" s="43" t="str">
        <x:v>SP</x:v>
      </x:c>
      <x:c r="F139" s="43" t="str">
        <x:v>Sudeste</x:v>
      </x:c>
      <x:c r="G139" s="43" t="str">
        <x:v>B - Média</x:v>
      </x:c>
      <x:c r="H139" s="43" t="str">
        <x:v>Não contatado</x:v>
      </x:c>
      <x:c r="I139" s="43"/>
      <x:c r="J139" s="43" t="str">
        <x:v>Não localizado em fonte pública confiável até 24/07/2026</x:v>
      </x:c>
      <x:c r="K139" s="43" t="str">
        <x:v>Não</x:v>
      </x:c>
      <x:c r="L139" s="43" t="str">
        <x:v>especialista ou revenda de vedações industriais</x:v>
      </x:c>
      <x:c r="M139" s="43" t="str">
        <x:v>máquinas, automotivo, químico, alimentos e manutenção industrial</x:v>
      </x:c>
      <x:c r="N139" s="43" t="str">
        <x:v>gaxetas, raspadores, anéis guia, vedações de haste e pistão, retentores especiais e reposições fora de linha</x:v>
      </x:c>
      <x:c r="O139" s="43" t="str">
        <x:v>peças sob medida em PTFE puro ou carregado, poliuretano, NBR, FKM, nylon e outros materiais técnicos</x:v>
      </x:c>
      <x:c r="P139" s="43" t="str">
        <x:v>complementar o portfólio com itens especiais, pequenas e médias séries, urgências e fabricação por desenho ou amostra</x:v>
      </x:c>
      <x:c r="Q139" s="43" t="str">
        <x:v>Segmento da base: Vedações; localização: São Paulo/SP; contexto industrial regional usado apenas como hipótese comercial. Sem e-mail público localizado. Nenhuma afirmação sobre clientes ou aplicações específicas da empresa foi feita sem fonte.</x:v>
      </x:c>
      <x:c r="R139" s="43" t="str">
        <x:v>Baixa</x:v>
      </x:c>
      <x:c r="S139" s="43" t="str">
        <x:v>Sim</x:v>
      </x:c>
      <x:c r="T139" s="43" t="str">
        <x:v>Apoio em vedações sob medida para a Mult Rubber Vedações Industriais</x:v>
      </x:c>
      <x:c r="U139" s="43" t="str">
        <x:v>Olá, equipe da Mult Rubber Vedações Industriais,</x:v>
      </x:c>
      <x:c r="V139" s="43" t="str">
        <x:v>Olá, equipe da Mult Rubber Vedações Industriais,
A Parts Seals está ampliando parcerias com empresas técnicas do setor, e o perfil da Mult Rubber Vedações Industriais chamou nossa atenção pela atuação em vedações.
Em São Paulo/SP,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39" s="43" t="str">
        <x:v>Olá, equipe da Mult Rubber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39" s="43" t="str">
        <x:v>Olá, equipe da Mult Rubber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39" s="43" t="str">
        <x:v>Vocês recebem consultas de peças especiais que acabam sem atendimento por prazo, material, quantidade ou ausência de desenho?</x:v>
      </x:c>
      <x:c r="Z139" s="43" t="str">
        <x:v>Este contato foi direcionado a um canal corporativo público por possível aderência entre as atividades das empresas. Para não receber novas mensagens da Parts Seals, responda com REMOVER.</x:v>
      </x:c>
      <x:c r="AA139" s="43" t="str">
        <x:v>Sem e-mail</x:v>
      </x:c>
      <x:c r="AB139" s="43" t="str">
        <x:v>Não</x:v>
      </x:c>
      <x:c r="AC139" s="44"/>
      <x:c r="AD139" s="44"/>
      <x:c r="AE139" s="44"/>
      <x:c r="AF139" s="44"/>
      <x:c r="AG139" s="43"/>
      <x:c r="AH139" s="43"/>
      <x:c r="AI139" s="43" t="str">
        <x:v>Não</x:v>
      </x:c>
      <x:c r="AJ139" s="43"/>
      <x:c r="AK139" s="43"/>
      <x:c r="AL139" s="43" t="str">
        <x:v>https://perfildaindustria.portaldaindustria.com.br/estado/tudo/sp</x:v>
      </x:c>
      <x:c r="AM139" s="43" t="str">
        <x:v>Não localizado em fonte pública confiável até 24/07/2026</x:v>
      </x:c>
      <x:c r="AN139" s="43" t="str">
        <x:v>Pesquise a empresa Mult Rubber Vedações Industriais,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39" s="43" t="str">
        <x:v>2026-07-24 v1</x:v>
      </x:c>
    </x:row>
    <x:row r="140" ht="72" customHeight="1">
      <x:c r="A140" s="43" t="n">
        <x:v>139</x:v>
      </x:c>
      <x:c r="B140" s="43" t="str">
        <x:v>RTE Distribuidora de Rolamentos e Mancais</x:v>
      </x:c>
      <x:c r="C140" s="43" t="str">
        <x:v>Rolamentos/Vedações</x:v>
      </x:c>
      <x:c r="D140" s="43" t="str">
        <x:v>São Paulo</x:v>
      </x:c>
      <x:c r="E140" s="43" t="str">
        <x:v>SP</x:v>
      </x:c>
      <x:c r="F140" s="43" t="str">
        <x:v>Sudeste</x:v>
      </x:c>
      <x:c r="G140" s="43" t="str">
        <x:v>A - Alta</x:v>
      </x:c>
      <x:c r="H140" s="43" t="str">
        <x:v>Não contatado</x:v>
      </x:c>
      <x:c r="I140" s="43" t="str">
        <x:v>vendas@rtedistribuidora.com.br</x:v>
      </x:c>
      <x:c r="J140" s="43" t="str">
        <x:v>https://www.instagram.com/rterolamentos/</x:v>
      </x:c>
      <x:c r="K140" s="43" t="str">
        <x:v>Sim</x:v>
      </x:c>
      <x:c r="L140" s="43" t="str">
        <x:v>distribuidor de rolamentos, retentores e vedações</x:v>
      </x:c>
      <x:c r="M140" s="43" t="str">
        <x:v>máquinas, automotivo, químico, alimentos e manutenção industrial</x:v>
      </x:c>
      <x:c r="N140" s="43" t="str">
        <x:v>retentores especiais, anéis, vedações rotativas, kits e componentes para manutenção de máquinas</x:v>
      </x:c>
      <x:c r="O140" s="43" t="str">
        <x:v>peças especiais em NBR, FKM, PU e PTFE, inclusive medidas fora de catálogo</x:v>
      </x:c>
      <x:c r="P140" s="43" t="str">
        <x:v>complementar a linha padronizada com reposições especiais e itens descontinuados</x:v>
      </x:c>
      <x:c r="Q140" s="43" t="str">
        <x:v>Segmento da base: Rolamentos/Vedações; localização: São Paulo/SP; contexto industrial regional usado apenas como hipótese comercial. Contato publicado em perfil ou diretório institucional. Nenhuma afirmação sobre clientes ou aplicações específicas da empresa foi feita sem fonte.</x:v>
      </x:c>
      <x:c r="R140" s="43" t="str">
        <x:v>Moderada</x:v>
      </x:c>
      <x:c r="S140" s="43" t="str">
        <x:v>Sim</x:v>
      </x:c>
      <x:c r="T140" s="43" t="str">
        <x:v>Reposições especiais e itens descontinuados</x:v>
      </x:c>
      <x:c r="U140" s="43" t="str">
        <x:v>Olá, equipe da RTE Distribuidora de Rolamentos e Mancais,</x:v>
      </x:c>
      <x:c r="V140" s="43" t="str">
        <x:v>Olá, equipe da RTE Distribuidora de Rolamentos e Mancais,
Gostaria de apresentar uma possibilidade de apoio complementar à RTE Distribuidora de Rolamentos e Mancais para peças especiais, urgências e reposições fora de catálogo.
Em São Paulo/SP, cadeias como máquinas, automotivo, químico, alimentos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NBR,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140" s="43" t="str">
        <x:v>Olá, equipe da RTE Distribuidora de Rolamentos e Mancais,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140" s="43" t="str">
        <x:v>Olá, equipe da RTE Distribuidora de Rolamentos e Mancais,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40" s="43" t="str">
        <x:v>Vocês têm pedidos de retentores ou vedações em medidas especiais que não encontram nos catálogos tradicionais?</x:v>
      </x:c>
      <x:c r="Z140" s="43" t="str">
        <x:v>Este contato foi direcionado a um canal corporativo público por possível aderência entre as atividades das empresas. Para não receber novas mensagens da Parts Seals, responda com REMOVER.</x:v>
      </x:c>
      <x:c r="AA140" s="43" t="str">
        <x:v>Aguardando aprovação</x:v>
      </x:c>
      <x:c r="AB140" s="43" t="str">
        <x:v>Não</x:v>
      </x:c>
      <x:c r="AC140" s="44"/>
      <x:c r="AD140" s="44"/>
      <x:c r="AE140" s="44"/>
      <x:c r="AF140" s="44"/>
      <x:c r="AG140" s="43"/>
      <x:c r="AH140" s="43"/>
      <x:c r="AI140" s="43" t="str">
        <x:v>Não</x:v>
      </x:c>
      <x:c r="AJ140" s="43"/>
      <x:c r="AK140" s="43"/>
      <x:c r="AL140" s="43" t="str">
        <x:v>https://perfildaindustria.portaldaindustria.com.br/estado/tudo/sp</x:v>
      </x:c>
      <x:c r="AM140" s="43" t="str">
        <x:v>https://www.instagram.com/rterolamentos/</x:v>
      </x:c>
      <x:c r="AN140" s="43" t="str">
        <x:v>Pesquise a empresa RTE Distribuidora de Rolamentos e Mancais,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40" s="43" t="str">
        <x:v>2026-07-24 v1</x:v>
      </x:c>
    </x:row>
    <x:row r="141" ht="72" customHeight="1">
      <x:c r="A141" s="43" t="n">
        <x:v>140</x:v>
      </x:c>
      <x:c r="B141" s="43" t="str">
        <x:v>Retec Vedações Industriais</x:v>
      </x:c>
      <x:c r="C141" s="43" t="str">
        <x:v>Fabricante/Vedações</x:v>
      </x:c>
      <x:c r="D141" s="43" t="str">
        <x:v>São Paulo</x:v>
      </x:c>
      <x:c r="E141" s="43" t="str">
        <x:v>SP</x:v>
      </x:c>
      <x:c r="F141" s="43" t="str">
        <x:v>Sudeste</x:v>
      </x:c>
      <x:c r="G141" s="43" t="str">
        <x:v>C - Baixa</x:v>
      </x:c>
      <x:c r="H141" s="43" t="str">
        <x:v>Não contatado</x:v>
      </x:c>
      <x:c r="I141" s="43"/>
      <x:c r="J141" s="43" t="str">
        <x:v>Não localizado em fonte pública confiável até 24/07/2026</x:v>
      </x:c>
      <x:c r="K141" s="43" t="str">
        <x:v>Não</x:v>
      </x:c>
      <x:c r="L141" s="43" t="str">
        <x:v>fabricante ou transformador especializado em vedações</x:v>
      </x:c>
      <x:c r="M141" s="43" t="str">
        <x:v>máquinas, automotivo, químico, alimentos e manutenção industrial</x:v>
      </x:c>
      <x:c r="N141" s="43" t="str">
        <x:v>itens fora de padrão, picos de demanda, protótipos, reposições urgentes e lotes que exigem processo ou material específico</x:v>
      </x:c>
      <x:c r="O141" s="43" t="str">
        <x:v>componentes usinados e moldados em PTFE puro ou carregado, PU, NBR, FKM e materiais técnicos, conforme desenho ou amostra</x:v>
      </x:c>
      <x:c r="P141" s="43" t="str">
        <x:v>atuar como apoio produtivo complementar, preservando a relação comercial de vocês com o cliente final</x:v>
      </x:c>
      <x:c r="Q141" s="43" t="str">
        <x:v>Segmento da base: Fabricante/Vedações; localização: São Paulo/SP; contexto industrial regional usado apenas como hipótese comercial. Sem e-mail público localizado. Nenhuma afirmação sobre clientes ou aplicações específicas da empresa foi feita sem fonte.</x:v>
      </x:c>
      <x:c r="R141" s="43" t="str">
        <x:v>Baixa</x:v>
      </x:c>
      <x:c r="S141" s="43" t="str">
        <x:v>Sim</x:v>
      </x:c>
      <x:c r="T141" s="43" t="str">
        <x:v>Apoio produtivo para itens especiais — Retec Vedações Industriais</x:v>
      </x:c>
      <x:c r="U141" s="43" t="str">
        <x:v>Olá, equipe da Retec Vedações Industriais,</x:v>
      </x:c>
      <x:c r="V141" s="43" t="str">
        <x:v>Olá, equipe da Retec Vedações Industriais,
Estou entrando em contato porque a atuação da Retec Vedações Industriais em fabricante/vedações tem boa aderência ao tipo de fabricação especial que realizamos na Parts Seals.
Em São Paulo/SP, cadeias como máquinas, automotivo, químico, alimentos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41" s="43" t="str">
        <x:v>Olá, equipe da Retec Vedações Industriais,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41" s="43" t="str">
        <x:v>Olá, equipe da Retec Vedações Industriais,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41" s="43" t="str">
        <x:v>Existe hoje algum item especial, urgente ou de baixa quantidade que esteja ocupando capacidade ou ficando sem atendimento?</x:v>
      </x:c>
      <x:c r="Z141" s="43" t="str">
        <x:v>Este contato foi direcionado a um canal corporativo público por possível aderência entre as atividades das empresas. Para não receber novas mensagens da Parts Seals, responda com REMOVER.</x:v>
      </x:c>
      <x:c r="AA141" s="43" t="str">
        <x:v>Sem e-mail</x:v>
      </x:c>
      <x:c r="AB141" s="43" t="str">
        <x:v>Não</x:v>
      </x:c>
      <x:c r="AC141" s="44"/>
      <x:c r="AD141" s="44"/>
      <x:c r="AE141" s="44"/>
      <x:c r="AF141" s="44"/>
      <x:c r="AG141" s="43"/>
      <x:c r="AH141" s="43"/>
      <x:c r="AI141" s="43" t="str">
        <x:v>Não</x:v>
      </x:c>
      <x:c r="AJ141" s="43"/>
      <x:c r="AK141" s="43"/>
      <x:c r="AL141" s="43" t="str">
        <x:v>https://perfildaindustria.portaldaindustria.com.br/estado/tudo/sp</x:v>
      </x:c>
      <x:c r="AM141" s="43" t="str">
        <x:v>Não localizado em fonte pública confiável até 24/07/2026</x:v>
      </x:c>
      <x:c r="AN141" s="43" t="str">
        <x:v>Pesquise a empresa Retec Vedações Industriais,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41" s="43" t="str">
        <x:v>2026-07-24 v1</x:v>
      </x:c>
    </x:row>
    <x:row r="142" ht="72" customHeight="1">
      <x:c r="A142" s="43" t="n">
        <x:v>141</x:v>
      </x:c>
      <x:c r="B142" s="43" t="str">
        <x:v>Retentores Paulista</x:v>
      </x:c>
      <x:c r="C142" s="43" t="str">
        <x:v>Fabricante/Vedações</x:v>
      </x:c>
      <x:c r="D142" s="43" t="str">
        <x:v>São Paulo</x:v>
      </x:c>
      <x:c r="E142" s="43" t="str">
        <x:v>SP</x:v>
      </x:c>
      <x:c r="F142" s="43" t="str">
        <x:v>Sudeste</x:v>
      </x:c>
      <x:c r="G142" s="43" t="str">
        <x:v>Sem dados - qualificar</x:v>
      </x:c>
      <x:c r="H142" s="43" t="str">
        <x:v>Não contatado</x:v>
      </x:c>
      <x:c r="I142" s="43" t="str">
        <x:v>marcelo@retentorespaulista.com.br</x:v>
      </x:c>
      <x:c r="J142" s="43" t="str">
        <x:v>https://www.retentorespaulista.com.br/</x:v>
      </x:c>
      <x:c r="K142" s="43" t="str">
        <x:v>Sim</x:v>
      </x:c>
      <x:c r="L142" s="43" t="str">
        <x:v>fabricante ou transformador especializado em vedações</x:v>
      </x:c>
      <x:c r="M142" s="43" t="str">
        <x:v>máquinas, automotivo, químico, alimentos e manutenção industrial</x:v>
      </x:c>
      <x:c r="N142" s="43" t="str">
        <x:v>itens fora de padrão, picos de demanda, protótipos, reposições urgentes e lotes que exigem processo ou material específico</x:v>
      </x:c>
      <x:c r="O142" s="43" t="str">
        <x:v>componentes usinados e moldados em PTFE puro ou carregado, PU, NBR, FKM e materiais técnicos, conforme desenho ou amostra</x:v>
      </x:c>
      <x:c r="P142" s="43" t="str">
        <x:v>atuar como apoio produtivo complementar, preservando a relação comercial de vocês com o cliente final</x:v>
      </x:c>
      <x:c r="Q142" s="43" t="str">
        <x:v>Segmento da base: Fabricante/Vedações; localização: São Paulo/SP; contexto industrial regional usado apenas como hipótese comercial. Domínio do e-mail coincide com a fonte oficial. Nenhuma afirmação sobre clientes ou aplicações específicas da empresa foi feita sem fonte.</x:v>
      </x:c>
      <x:c r="R142" s="43" t="str">
        <x:v>Alta</x:v>
      </x:c>
      <x:c r="S142" s="43" t="str">
        <x:v>Recomendada</x:v>
      </x:c>
      <x:c r="T142" s="43" t="str">
        <x:v>Parceria para picos de demanda e peças especiais</x:v>
      </x:c>
      <x:c r="U142" s="43" t="str">
        <x:v>Olá, equipe da Retentores Paulista,</x:v>
      </x:c>
      <x:c r="V142" s="43" t="str">
        <x:v>Olá, equipe da Retentores Paulista,
Ao analisar o perfil da Retentores Paulista em São Paulo, identifiquei uma possibilidade de parceria para demandas de vedação que não se encaixam bem em linhas padronizadas.
Em São Paulo/SP, cadeias como máquinas, automotivo, químico, alimentos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42" s="43" t="str">
        <x:v>Olá, equipe da Retentores Paulista,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42" s="43" t="str">
        <x:v>Olá, equipe da Retentores Paulista,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42" s="43" t="str">
        <x:v>Existe hoje algum item especial, urgente ou de baixa quantidade que esteja ocupando capacidade ou ficando sem atendimento?</x:v>
      </x:c>
      <x:c r="Z142" s="43" t="str">
        <x:v>Este contato foi direcionado a um canal corporativo público por possível aderência entre as atividades das empresas. Para não receber novas mensagens da Parts Seals, responda com REMOVER.</x:v>
      </x:c>
      <x:c r="AA142" s="43" t="str">
        <x:v>Aguardando aprovação</x:v>
      </x:c>
      <x:c r="AB142" s="43" t="str">
        <x:v>Não</x:v>
      </x:c>
      <x:c r="AC142" s="44"/>
      <x:c r="AD142" s="44"/>
      <x:c r="AE142" s="44"/>
      <x:c r="AF142" s="44"/>
      <x:c r="AG142" s="43"/>
      <x:c r="AH142" s="43"/>
      <x:c r="AI142" s="43" t="str">
        <x:v>Não</x:v>
      </x:c>
      <x:c r="AJ142" s="43"/>
      <x:c r="AK142" s="43"/>
      <x:c r="AL142" s="43" t="str">
        <x:v>https://perfildaindustria.portaldaindustria.com.br/estado/tudo/sp</x:v>
      </x:c>
      <x:c r="AM142" s="43" t="str">
        <x:v>https://www.retentorespaulista.com.br/</x:v>
      </x:c>
      <x:c r="AN142" s="43" t="str">
        <x:v>Pesquise a empresa Retentores Paulista,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42" s="43" t="str">
        <x:v>2026-07-24 v1</x:v>
      </x:c>
    </x:row>
    <x:row r="143" ht="72" customHeight="1">
      <x:c r="A143" s="43" t="n">
        <x:v>142</x:v>
      </x:c>
      <x:c r="B143" s="43" t="str">
        <x:v>Rolatel Comércio de Rolamentos</x:v>
      </x:c>
      <x:c r="C143" s="43" t="str">
        <x:v>Rolamentos/Vedações</x:v>
      </x:c>
      <x:c r="D143" s="43" t="str">
        <x:v>São Paulo</x:v>
      </x:c>
      <x:c r="E143" s="43" t="str">
        <x:v>SP</x:v>
      </x:c>
      <x:c r="F143" s="43" t="str">
        <x:v>Sudeste</x:v>
      </x:c>
      <x:c r="G143" s="43" t="str">
        <x:v>A - Alta</x:v>
      </x:c>
      <x:c r="H143" s="43" t="str">
        <x:v>Não contatado</x:v>
      </x:c>
      <x:c r="I143" s="43" t="str">
        <x:v>vendas@rolatel.com.br</x:v>
      </x:c>
      <x:c r="J143" s="43" t="str">
        <x:v>https://www.skf.com/binaries/pub330/Images/Distribuidores-Autorizados-IM-SKF-01-22_tcm_330-565060.pdf</x:v>
      </x:c>
      <x:c r="K143" s="43" t="str">
        <x:v>Sim</x:v>
      </x:c>
      <x:c r="L143" s="43" t="str">
        <x:v>distribuidor de rolamentos, retentores e vedações</x:v>
      </x:c>
      <x:c r="M143" s="43" t="str">
        <x:v>máquinas, automotivo, químico, alimentos e manutenção industrial</x:v>
      </x:c>
      <x:c r="N143" s="43" t="str">
        <x:v>retentores especiais, anéis, vedações rotativas, kits e componentes para manutenção de máquinas</x:v>
      </x:c>
      <x:c r="O143" s="43" t="str">
        <x:v>peças especiais em NBR, FKM, PU e PTFE, inclusive medidas fora de catálogo</x:v>
      </x:c>
      <x:c r="P143" s="43" t="str">
        <x:v>complementar a linha padronizada com reposições especiais e itens descontinuados</x:v>
      </x:c>
      <x:c r="Q143" s="43" t="str">
        <x:v>Segmento da base: Rolamentos/Vedações; localização: São Paulo/SP; contexto industrial regional usado apenas como hipótese comercial. Contato publicado em documento de fabricante ou distribuidor. Nenhuma afirmação sobre clientes ou aplicações específicas da empresa foi feita sem fonte.</x:v>
      </x:c>
      <x:c r="R143" s="43" t="str">
        <x:v>Moderada</x:v>
      </x:c>
      <x:c r="S143" s="43" t="str">
        <x:v>Sim</x:v>
      </x:c>
      <x:c r="T143" s="43" t="str">
        <x:v>Complemento para a linha de vedações da Rolatel Comércio de Rolamentos</x:v>
      </x:c>
      <x:c r="U143" s="43" t="str">
        <x:v>Olá, equipe da Rolatel Comércio de Rolamentos,</x:v>
      </x:c>
      <x:c r="V143" s="43" t="str">
        <x:v>Olá, equipe da Rolatel Comércio de Rolamentos,
A Parts Seals está ampliando parcerias com empresas técnicas do setor, e o perfil da Rolatel Comércio de Rolamentos chamou nossa atenção pela atuação em rolamentos/vedações.
Em São Paulo/SP, cadeias como máquinas, automotivo, químico, alimentos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NBR,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143" s="43" t="str">
        <x:v>Olá, equipe da Rolatel Comércio de Rolamentos,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143" s="43" t="str">
        <x:v>Olá, equipe da Rolatel Comércio de Rolamentos,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43" s="43" t="str">
        <x:v>Vocês têm pedidos de retentores ou vedações em medidas especiais que não encontram nos catálogos tradicionais?</x:v>
      </x:c>
      <x:c r="Z143" s="43" t="str">
        <x:v>Este contato foi direcionado a um canal corporativo público por possível aderência entre as atividades das empresas. Para não receber novas mensagens da Parts Seals, responda com REMOVER.</x:v>
      </x:c>
      <x:c r="AA143" s="43" t="str">
        <x:v>Aguardando aprovação</x:v>
      </x:c>
      <x:c r="AB143" s="43" t="str">
        <x:v>Não</x:v>
      </x:c>
      <x:c r="AC143" s="44"/>
      <x:c r="AD143" s="44"/>
      <x:c r="AE143" s="44"/>
      <x:c r="AF143" s="44"/>
      <x:c r="AG143" s="43"/>
      <x:c r="AH143" s="43"/>
      <x:c r="AI143" s="43" t="str">
        <x:v>Não</x:v>
      </x:c>
      <x:c r="AJ143" s="43"/>
      <x:c r="AK143" s="43"/>
      <x:c r="AL143" s="43" t="str">
        <x:v>https://perfildaindustria.portaldaindustria.com.br/estado/tudo/sp</x:v>
      </x:c>
      <x:c r="AM143" s="43" t="str">
        <x:v>https://www.skf.com/binaries/pub330/Images/Distribuidores-Autorizados-IM-SKF-01-22_tcm_330-565060.pdf</x:v>
      </x:c>
      <x:c r="AN143" s="43" t="str">
        <x:v>Pesquise a empresa Rolatel Comércio de Rolamentos,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43" s="43" t="str">
        <x:v>2026-07-24 v1</x:v>
      </x:c>
    </x:row>
    <x:row r="144" ht="72" customHeight="1">
      <x:c r="A144" s="43" t="n">
        <x:v>143</x:v>
      </x:c>
      <x:c r="B144" s="43" t="str">
        <x:v>Romag Bearings &amp; Seals</x:v>
      </x:c>
      <x:c r="C144" s="43" t="str">
        <x:v>Rolamentos/Vedações</x:v>
      </x:c>
      <x:c r="D144" s="43" t="str">
        <x:v>São Paulo</x:v>
      </x:c>
      <x:c r="E144" s="43" t="str">
        <x:v>SP</x:v>
      </x:c>
      <x:c r="F144" s="43" t="str">
        <x:v>Sudeste</x:v>
      </x:c>
      <x:c r="G144" s="43" t="str">
        <x:v>B - Média</x:v>
      </x:c>
      <x:c r="H144" s="43" t="str">
        <x:v>Não contatado</x:v>
      </x:c>
      <x:c r="I144" s="43" t="str">
        <x:v>romag@romagrolamentos.com.br</x:v>
      </x:c>
      <x:c r="J144" s="43" t="str">
        <x:v>https://www.romagrolamentos.com.br/</x:v>
      </x:c>
      <x:c r="K144" s="43" t="str">
        <x:v>Sim</x:v>
      </x:c>
      <x:c r="L144" s="43" t="str">
        <x:v>distribuidor de rolamentos, retentores e vedações</x:v>
      </x:c>
      <x:c r="M144" s="43" t="str">
        <x:v>máquinas, automotivo, químico, alimentos e manutenção industrial</x:v>
      </x:c>
      <x:c r="N144" s="43" t="str">
        <x:v>retentores especiais, anéis, vedações rotativas, kits e componentes para manutenção de máquinas</x:v>
      </x:c>
      <x:c r="O144" s="43" t="str">
        <x:v>peças especiais em NBR, FKM, PU e PTFE, inclusive medidas fora de catálogo</x:v>
      </x:c>
      <x:c r="P144" s="43" t="str">
        <x:v>complementar a linha padronizada com reposições especiais e itens descontinuados</x:v>
      </x:c>
      <x:c r="Q144" s="43" t="str">
        <x:v>Segmento da base: Rolamentos/Vedações; localização: São Paulo/SP; contexto industrial regional usado apenas como hipótese comercial. Domínio do e-mail coincide com a fonte oficial. Nenhuma afirmação sobre clientes ou aplicações específicas da empresa foi feita sem fonte.</x:v>
      </x:c>
      <x:c r="R144" s="43" t="str">
        <x:v>Alta</x:v>
      </x:c>
      <x:c r="S144" s="43" t="str">
        <x:v>Recomendada</x:v>
      </x:c>
      <x:c r="T144" s="43" t="str">
        <x:v>Reposições especiais e itens descontinuados</x:v>
      </x:c>
      <x:c r="U144" s="43" t="str">
        <x:v>Olá, equipe da Romag Bearings &amp; Seals,</x:v>
      </x:c>
      <x:c r="V144" s="43" t="str">
        <x:v>Olá, equipe da Romag Bearings &amp; Seals,
Gostaria de apresentar uma possibilidade de apoio complementar à Romag Bearings &amp; Seals para peças especiais, urgências e reposições fora de catálogo.
Em São Paulo/SP, cadeias como máquinas, automotivo, químico, alimentos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NBR,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144" s="43" t="str">
        <x:v>Olá, equipe da Romag Bearings &amp; Seals,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144" s="43" t="str">
        <x:v>Olá, equipe da Romag Bearings &amp; Seals,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44" s="43" t="str">
        <x:v>Vocês têm pedidos de retentores ou vedações em medidas especiais que não encontram nos catálogos tradicionais?</x:v>
      </x:c>
      <x:c r="Z144" s="43" t="str">
        <x:v>Este contato foi direcionado a um canal corporativo público por possível aderência entre as atividades das empresas. Para não receber novas mensagens da Parts Seals, responda com REMOVER.</x:v>
      </x:c>
      <x:c r="AA144" s="43" t="str">
        <x:v>Aguardando aprovação</x:v>
      </x:c>
      <x:c r="AB144" s="43" t="str">
        <x:v>Não</x:v>
      </x:c>
      <x:c r="AC144" s="44"/>
      <x:c r="AD144" s="44"/>
      <x:c r="AE144" s="44"/>
      <x:c r="AF144" s="44"/>
      <x:c r="AG144" s="43"/>
      <x:c r="AH144" s="43"/>
      <x:c r="AI144" s="43" t="str">
        <x:v>Não</x:v>
      </x:c>
      <x:c r="AJ144" s="43"/>
      <x:c r="AK144" s="43"/>
      <x:c r="AL144" s="43" t="str">
        <x:v>https://perfildaindustria.portaldaindustria.com.br/estado/tudo/sp</x:v>
      </x:c>
      <x:c r="AM144" s="43" t="str">
        <x:v>https://www.romagrolamentos.com.br/</x:v>
      </x:c>
      <x:c r="AN144" s="43" t="str">
        <x:v>Pesquise a empresa Romag Bearings &amp; Seals,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44" s="43" t="str">
        <x:v>2026-07-24 v1</x:v>
      </x:c>
    </x:row>
    <x:row r="145" ht="72" customHeight="1">
      <x:c r="A145" s="43" t="n">
        <x:v>144</x:v>
      </x:c>
      <x:c r="B145" s="43" t="str">
        <x:v>SP Seals</x:v>
      </x:c>
      <x:c r="C145" s="43" t="str">
        <x:v>Distribuidor AGEL/APC</x:v>
      </x:c>
      <x:c r="D145" s="43" t="str">
        <x:v>São Paulo</x:v>
      </x:c>
      <x:c r="E145" s="43" t="str">
        <x:v>SP</x:v>
      </x:c>
      <x:c r="F145" s="43" t="str">
        <x:v>Sudeste</x:v>
      </x:c>
      <x:c r="G145" s="43" t="str">
        <x:v>Sem dados - qualificar</x:v>
      </x:c>
      <x:c r="H145" s="43" t="str">
        <x:v>Não contatado</x:v>
      </x:c>
      <x:c r="I145" s="43" t="str">
        <x:v>contato@spseals.com.br</x:v>
      </x:c>
      <x:c r="J145" s="43" t="str">
        <x:v>https://spseals.com.br/</x:v>
      </x:c>
      <x:c r="K145" s="43" t="str">
        <x:v>Sim</x:v>
      </x:c>
      <x:c r="L145" s="43" t="str">
        <x:v>distribuidor de componentes e vedações de linha</x:v>
      </x:c>
      <x:c r="M145" s="43" t="str">
        <x:v>máquinas, automotivo, químico, alimentos e manutenção industrial</x:v>
      </x:c>
      <x:c r="N145" s="43" t="str">
        <x:v>itens especiais, medidas fora de catálogo e reposições de manutenção</x:v>
      </x:c>
      <x:c r="O145" s="43" t="str">
        <x:v>vedações em PTFE, PU, NBR e FKM sob desenho ou amostra</x:v>
      </x:c>
      <x:c r="P145" s="43" t="str">
        <x:v>complementar as marcas distribuídas sem competir com os itens padronizados</x:v>
      </x:c>
      <x:c r="Q145" s="43" t="str">
        <x:v>Segmento da base: Distribuidor AGEL/APC; localização: São Paulo/SP; contexto industrial regional usado apenas como hipótese comercial. Domínio do e-mail coincide com a fonte oficial. Nenhuma afirmação sobre clientes ou aplicações específicas da empresa foi feita sem fonte.</x:v>
      </x:c>
      <x:c r="R145" s="43" t="str">
        <x:v>Alta</x:v>
      </x:c>
      <x:c r="S145" s="43" t="str">
        <x:v>Recomendada</x:v>
      </x:c>
      <x:c r="T145" s="43" t="str">
        <x:v>Peças especiais para complementar o atendimento da SP Seals</x:v>
      </x:c>
      <x:c r="U145" s="43" t="str">
        <x:v>Olá, equipe da SP Seals,</x:v>
      </x:c>
      <x:c r="V145" s="43" t="str">
        <x:v>Olá, equipe da SP Seals,
Estou entrando em contato porque a atuação da SP Seals em distribuidor agel/apc tem boa aderência ao tipo de fabricação especial que realizamos na Parts Seals.
Em São Paulo/SP, cadeias como máquinas, automotivo, químico, alimentos e manutenção industrial costumam gerar solicitações de vedações especiais, principalmente quando há pressão, desgaste, ataque químico, temperatura ou dificuldade de reposição. Para o perfil de distribuidor de componentes e vedações de linha, vemos maior aderência em itens especiais, medidas fora de catálogo e reposições de manutenção.
A Parts Seals pode apoiar com vedações em PTFE, PU, NBR e FKM sob desenho ou amostra. A seleção final do material é validada conforme a aplicação; para as demandas mais comuns da região, vale avaliar especialmente PU, NBR, PTFE e FKM. Nosso objetivo é complementar as marcas distribuídas sem competir com os itens padronizados.
Quais itens especiais aparecem com mais frequência fora das linhas que vocês distribuem?
Posso encaminhar uma apresentação curta ou avaliar um item real, sem compromisso?
Atenciosamente,
{{NOME_REMETENTE}}
Parts Seals Vedações Industriais
{{TELEFONE_REMETENTE}} | {{SITE_REMETENTE}}</x:v>
      </x:c>
      <x:c r="W145" s="43" t="str">
        <x:v>Olá, equipe da SP Seals,
Retomando meu contato: pelo perfil de distribuidor agel/apc de vocês, acredito que podemos apoiar principalmente em itens especiais, medidas fora de catálogo e reposições de manutenção.
Se tiverem uma medida, desenho ou foto de um item difícil de localizar, podemos fazer uma análise inicial e indicar o material mais adequado. Há algum caso em aberto que possamos avaliar?
Atenciosamente,
{{NOME_REMETENTE}}
Parts Seals Vedações Industriais</x:v>
      </x:c>
      <x:c r="X145" s="43" t="str">
        <x:v>Olá, equipe da SP Seals,
Encerrando meu contato para não insistir. Caso surja alguma demanda de itens especiais, medidas fora de catálogo e reposições de manutenção,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45" s="43" t="str">
        <x:v>Quais itens especiais aparecem com mais frequência fora das linhas que vocês distribuem?</x:v>
      </x:c>
      <x:c r="Z145" s="43" t="str">
        <x:v>Este contato foi direcionado a um canal corporativo público por possível aderência entre as atividades das empresas. Para não receber novas mensagens da Parts Seals, responda com REMOVER.</x:v>
      </x:c>
      <x:c r="AA145" s="43" t="str">
        <x:v>Aguardando aprovação</x:v>
      </x:c>
      <x:c r="AB145" s="43" t="str">
        <x:v>Não</x:v>
      </x:c>
      <x:c r="AC145" s="44"/>
      <x:c r="AD145" s="44"/>
      <x:c r="AE145" s="44"/>
      <x:c r="AF145" s="44"/>
      <x:c r="AG145" s="43"/>
      <x:c r="AH145" s="43"/>
      <x:c r="AI145" s="43" t="str">
        <x:v>Não</x:v>
      </x:c>
      <x:c r="AJ145" s="43"/>
      <x:c r="AK145" s="43"/>
      <x:c r="AL145" s="43" t="str">
        <x:v>https://perfildaindustria.portaldaindustria.com.br/estado/tudo/sp</x:v>
      </x:c>
      <x:c r="AM145" s="43" t="str">
        <x:v>https://spseals.com.br/</x:v>
      </x:c>
      <x:c r="AN145" s="43" t="str">
        <x:v>Pesquise a empresa SP Seals,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45" s="43" t="str">
        <x:v>2026-07-24 v1</x:v>
      </x:c>
    </x:row>
    <x:row r="146" ht="72" customHeight="1">
      <x:c r="A146" s="43" t="n">
        <x:v>145</x:v>
      </x:c>
      <x:c r="B146" s="43" t="str">
        <x:v>Sul Importadora</x:v>
      </x:c>
      <x:c r="C146" s="43" t="str">
        <x:v>Rolamentos/Vedações</x:v>
      </x:c>
      <x:c r="D146" s="43" t="str">
        <x:v>São Paulo</x:v>
      </x:c>
      <x:c r="E146" s="43" t="str">
        <x:v>SP</x:v>
      </x:c>
      <x:c r="F146" s="43" t="str">
        <x:v>Sudeste</x:v>
      </x:c>
      <x:c r="G146" s="43" t="str">
        <x:v>B - Média</x:v>
      </x:c>
      <x:c r="H146" s="43" t="str">
        <x:v>Não contatado</x:v>
      </x:c>
      <x:c r="I146" s="43"/>
      <x:c r="J146" s="43" t="str">
        <x:v>Não localizado em fonte pública confiável até 24/07/2026</x:v>
      </x:c>
      <x:c r="K146" s="43" t="str">
        <x:v>Não</x:v>
      </x:c>
      <x:c r="L146" s="43" t="str">
        <x:v>distribuidor de rolamentos, retentores e vedações</x:v>
      </x:c>
      <x:c r="M146" s="43" t="str">
        <x:v>máquinas, automotivo, químico, alimentos e manutenção industrial</x:v>
      </x:c>
      <x:c r="N146" s="43" t="str">
        <x:v>retentores especiais, anéis, vedações rotativas, kits e componentes para manutenção de máquinas</x:v>
      </x:c>
      <x:c r="O146" s="43" t="str">
        <x:v>peças especiais em NBR, FKM, PU e PTFE, inclusive medidas fora de catálogo</x:v>
      </x:c>
      <x:c r="P146" s="43" t="str">
        <x:v>complementar a linha padronizada com reposições especiais e itens descontinuados</x:v>
      </x:c>
      <x:c r="Q146" s="43" t="str">
        <x:v>Segmento da base: Rolamentos/Vedações; localização: São Paulo/SP; contexto industrial regional usado apenas como hipótese comercial. Sem e-mail público localizado. Nenhuma afirmação sobre clientes ou aplicações específicas da empresa foi feita sem fonte.</x:v>
      </x:c>
      <x:c r="R146" s="43" t="str">
        <x:v>Baixa</x:v>
      </x:c>
      <x:c r="S146" s="43" t="str">
        <x:v>Sim</x:v>
      </x:c>
      <x:c r="T146" s="43" t="str">
        <x:v>Medidas fora de catálogo — apoio Parts Seals</x:v>
      </x:c>
      <x:c r="U146" s="43" t="str">
        <x:v>Olá, equipe da Sul Importadora,</x:v>
      </x:c>
      <x:c r="V146" s="43" t="str">
        <x:v>Olá, equipe da Sul Importadora,
Ao analisar o perfil da Sul Importadora em São Paulo, identifiquei uma possibilidade de parceria para demandas de vedação que não se encaixam bem em linhas padronizadas.
Em São Paulo/SP, cadeias como máquinas, automotivo, químico, alimentos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NBR,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146" s="43" t="str">
        <x:v>Olá, equipe da Sul Importadora,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146" s="43" t="str">
        <x:v>Olá, equipe da Sul Importadora,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46" s="43" t="str">
        <x:v>Vocês têm pedidos de retentores ou vedações em medidas especiais que não encontram nos catálogos tradicionais?</x:v>
      </x:c>
      <x:c r="Z146" s="43" t="str">
        <x:v>Este contato foi direcionado a um canal corporativo público por possível aderência entre as atividades das empresas. Para não receber novas mensagens da Parts Seals, responda com REMOVER.</x:v>
      </x:c>
      <x:c r="AA146" s="43" t="str">
        <x:v>Sem e-mail</x:v>
      </x:c>
      <x:c r="AB146" s="43" t="str">
        <x:v>Não</x:v>
      </x:c>
      <x:c r="AC146" s="44"/>
      <x:c r="AD146" s="44"/>
      <x:c r="AE146" s="44"/>
      <x:c r="AF146" s="44"/>
      <x:c r="AG146" s="43"/>
      <x:c r="AH146" s="43"/>
      <x:c r="AI146" s="43" t="str">
        <x:v>Não</x:v>
      </x:c>
      <x:c r="AJ146" s="43"/>
      <x:c r="AK146" s="43"/>
      <x:c r="AL146" s="43" t="str">
        <x:v>https://perfildaindustria.portaldaindustria.com.br/estado/tudo/sp</x:v>
      </x:c>
      <x:c r="AM146" s="43" t="str">
        <x:v>Não localizado em fonte pública confiável até 24/07/2026</x:v>
      </x:c>
      <x:c r="AN146" s="43" t="str">
        <x:v>Pesquise a empresa Sul Importadora,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46" s="43" t="str">
        <x:v>2026-07-24 v1</x:v>
      </x:c>
    </x:row>
    <x:row r="147" ht="72" customHeight="1">
      <x:c r="A147" s="43" t="n">
        <x:v>146</x:v>
      </x:c>
      <x:c r="B147" s="43" t="str">
        <x:v>Tecnoveda Retentores Orings e Vedações</x:v>
      </x:c>
      <x:c r="C147" s="43" t="str">
        <x:v>Vedações</x:v>
      </x:c>
      <x:c r="D147" s="43" t="str">
        <x:v>São Paulo</x:v>
      </x:c>
      <x:c r="E147" s="43" t="str">
        <x:v>SP</x:v>
      </x:c>
      <x:c r="F147" s="43" t="str">
        <x:v>Sudeste</x:v>
      </x:c>
      <x:c r="G147" s="43" t="str">
        <x:v>A - Alta</x:v>
      </x:c>
      <x:c r="H147" s="43" t="str">
        <x:v>Não contatado</x:v>
      </x:c>
      <x:c r="I147" s="43"/>
      <x:c r="J147" s="43" t="str">
        <x:v>Não localizado em fonte pública confiável até 24/07/2026</x:v>
      </x:c>
      <x:c r="K147" s="43" t="str">
        <x:v>Não</x:v>
      </x:c>
      <x:c r="L147" s="43" t="str">
        <x:v>especialista ou revenda de vedações industriais</x:v>
      </x:c>
      <x:c r="M147" s="43" t="str">
        <x:v>máquinas, automotivo, químico, alimentos e manutenção industrial</x:v>
      </x:c>
      <x:c r="N147" s="43" t="str">
        <x:v>gaxetas, raspadores, anéis guia, vedações de haste e pistão, retentores especiais e reposições fora de linha</x:v>
      </x:c>
      <x:c r="O147" s="43" t="str">
        <x:v>peças sob medida em PTFE puro ou carregado, poliuretano, NBR, FKM, nylon e outros materiais técnicos</x:v>
      </x:c>
      <x:c r="P147" s="43" t="str">
        <x:v>complementar o portfólio com itens especiais, pequenas e médias séries, urgências e fabricação por desenho ou amostra</x:v>
      </x:c>
      <x:c r="Q147" s="43" t="str">
        <x:v>Segmento da base: Vedações; localização: São Paulo/SP; contexto industrial regional usado apenas como hipótese comercial. Sem e-mail público localizado. Nenhuma afirmação sobre clientes ou aplicações específicas da empresa foi feita sem fonte.</x:v>
      </x:c>
      <x:c r="R147" s="43" t="str">
        <x:v>Baixa</x:v>
      </x:c>
      <x:c r="S147" s="43" t="str">
        <x:v>Sim</x:v>
      </x:c>
      <x:c r="T147" s="43" t="str">
        <x:v>Apoio em vedações sob medida para a Tecnoveda Retentores Orings e Vedações</x:v>
      </x:c>
      <x:c r="U147" s="43" t="str">
        <x:v>Olá, equipe da Tecnoveda Retentores Orings e Vedações,</x:v>
      </x:c>
      <x:c r="V147" s="43" t="str">
        <x:v>Olá, equipe da Tecnoveda Retentores Orings e Vedações,
A Parts Seals está ampliando parcerias com empresas técnicas do setor, e o perfil da Tecnoveda Retentores Orings e Vedações chamou nossa atenção pela atuação em vedações.
Em São Paulo/SP,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47" s="43" t="str">
        <x:v>Olá, equipe da Tecnoveda Retentores Orings e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47" s="43" t="str">
        <x:v>Olá, equipe da Tecnoveda Retentores Orings e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47" s="43" t="str">
        <x:v>Vocês recebem consultas de peças especiais que acabam sem atendimento por prazo, material, quantidade ou ausência de desenho?</x:v>
      </x:c>
      <x:c r="Z147" s="43" t="str">
        <x:v>Este contato foi direcionado a um canal corporativo público por possível aderência entre as atividades das empresas. Para não receber novas mensagens da Parts Seals, responda com REMOVER.</x:v>
      </x:c>
      <x:c r="AA147" s="43" t="str">
        <x:v>Sem e-mail</x:v>
      </x:c>
      <x:c r="AB147" s="43" t="str">
        <x:v>Não</x:v>
      </x:c>
      <x:c r="AC147" s="44"/>
      <x:c r="AD147" s="44"/>
      <x:c r="AE147" s="44"/>
      <x:c r="AF147" s="44"/>
      <x:c r="AG147" s="43"/>
      <x:c r="AH147" s="43"/>
      <x:c r="AI147" s="43" t="str">
        <x:v>Não</x:v>
      </x:c>
      <x:c r="AJ147" s="43"/>
      <x:c r="AK147" s="43"/>
      <x:c r="AL147" s="43" t="str">
        <x:v>https://perfildaindustria.portaldaindustria.com.br/estado/tudo/sp</x:v>
      </x:c>
      <x:c r="AM147" s="43" t="str">
        <x:v>Não localizado em fonte pública confiável até 24/07/2026</x:v>
      </x:c>
      <x:c r="AN147" s="43" t="str">
        <x:v>Pesquise a empresa Tecnoveda Retentores Orings e Vedações,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47" s="43" t="str">
        <x:v>2026-07-24 v1</x:v>
      </x:c>
    </x:row>
    <x:row r="148" ht="72" customHeight="1">
      <x:c r="A148" s="43" t="n">
        <x:v>147</x:v>
      </x:c>
      <x:c r="B148" s="43" t="str">
        <x:v>Vedabrás Vedações Industriais</x:v>
      </x:c>
      <x:c r="C148" s="43" t="str">
        <x:v>Fabricante/Vedações</x:v>
      </x:c>
      <x:c r="D148" s="43" t="str">
        <x:v>São Paulo</x:v>
      </x:c>
      <x:c r="E148" s="43" t="str">
        <x:v>SP</x:v>
      </x:c>
      <x:c r="F148" s="43" t="str">
        <x:v>Sudeste</x:v>
      </x:c>
      <x:c r="G148" s="43" t="str">
        <x:v>A - Alta</x:v>
      </x:c>
      <x:c r="H148" s="43" t="str">
        <x:v>Não contatado</x:v>
      </x:c>
      <x:c r="I148" s="43" t="str">
        <x:v>atendimento@vedabras.com.br</x:v>
      </x:c>
      <x:c r="J148" s="43" t="str">
        <x:v>https://www.vedabras.com.br/</x:v>
      </x:c>
      <x:c r="K148" s="43" t="str">
        <x:v>Sim</x:v>
      </x:c>
      <x:c r="L148" s="43" t="str">
        <x:v>fabricante ou transformador especializado em vedações</x:v>
      </x:c>
      <x:c r="M148" s="43" t="str">
        <x:v>máquinas, automotivo, químico, alimentos e manutenção industrial</x:v>
      </x:c>
      <x:c r="N148" s="43" t="str">
        <x:v>itens fora de padrão, picos de demanda, protótipos, reposições urgentes e lotes que exigem processo ou material específico</x:v>
      </x:c>
      <x:c r="O148" s="43" t="str">
        <x:v>componentes usinados e moldados em PTFE puro ou carregado, PU, NBR, FKM e materiais técnicos, conforme desenho ou amostra</x:v>
      </x:c>
      <x:c r="P148" s="43" t="str">
        <x:v>atuar como apoio produtivo complementar, preservando a relação comercial de vocês com o cliente final</x:v>
      </x:c>
      <x:c r="Q148" s="43" t="str">
        <x:v>Segmento da base: Fabricante/Vedações; localização: São Paulo/SP; contexto industrial regional usado apenas como hipótese comercial. Domínio do e-mail coincide com a fonte oficial. Nenhuma afirmação sobre clientes ou aplicações específicas da empresa foi feita sem fonte.</x:v>
      </x:c>
      <x:c r="R148" s="43" t="str">
        <x:v>Alta</x:v>
      </x:c>
      <x:c r="S148" s="43" t="str">
        <x:v>Recomendada</x:v>
      </x:c>
      <x:c r="T148" s="43" t="str">
        <x:v>Itens urgentes ou fora de padrão — Vedabrás Vedações Industriais</x:v>
      </x:c>
      <x:c r="U148" s="43" t="str">
        <x:v>Olá, equipe da Vedabrás Vedações Industriais,</x:v>
      </x:c>
      <x:c r="V148" s="43" t="str">
        <x:v>Olá, equipe da Vedabrás Vedações Industriais,
Gostaria de apresentar uma possibilidade de apoio complementar à Vedabrás Vedações Industriais para peças especiais, urgências e reposições fora de catálogo.
Em São Paulo/SP, cadeias como máquinas, automotivo, químico, alimentos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48" s="43" t="str">
        <x:v>Olá, equipe da Vedabrás Vedações Industriais,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48" s="43" t="str">
        <x:v>Olá, equipe da Vedabrás Vedações Industriais,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48" s="43" t="str">
        <x:v>Existe hoje algum item especial, urgente ou de baixa quantidade que esteja ocupando capacidade ou ficando sem atendimento?</x:v>
      </x:c>
      <x:c r="Z148" s="43" t="str">
        <x:v>Este contato foi direcionado a um canal corporativo público por possível aderência entre as atividades das empresas. Para não receber novas mensagens da Parts Seals, responda com REMOVER.</x:v>
      </x:c>
      <x:c r="AA148" s="43" t="str">
        <x:v>Aguardando aprovação</x:v>
      </x:c>
      <x:c r="AB148" s="43" t="str">
        <x:v>Não</x:v>
      </x:c>
      <x:c r="AC148" s="44"/>
      <x:c r="AD148" s="44"/>
      <x:c r="AE148" s="44"/>
      <x:c r="AF148" s="44"/>
      <x:c r="AG148" s="43"/>
      <x:c r="AH148" s="43"/>
      <x:c r="AI148" s="43" t="str">
        <x:v>Não</x:v>
      </x:c>
      <x:c r="AJ148" s="43"/>
      <x:c r="AK148" s="43"/>
      <x:c r="AL148" s="43" t="str">
        <x:v>https://perfildaindustria.portaldaindustria.com.br/estado/tudo/sp</x:v>
      </x:c>
      <x:c r="AM148" s="43" t="str">
        <x:v>https://www.vedabras.com.br/</x:v>
      </x:c>
      <x:c r="AN148" s="43" t="str">
        <x:v>Pesquise a empresa Vedabrás Vedações Industriais,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48" s="43" t="str">
        <x:v>2026-07-24 v1</x:v>
      </x:c>
    </x:row>
    <x:row r="149" ht="72" customHeight="1">
      <x:c r="A149" s="43" t="n">
        <x:v>148</x:v>
      </x:c>
      <x:c r="B149" s="43" t="str">
        <x:v>Vedalara Vedações Industriais</x:v>
      </x:c>
      <x:c r="C149" s="43" t="str">
        <x:v>Vedações</x:v>
      </x:c>
      <x:c r="D149" s="43" t="str">
        <x:v>São Paulo</x:v>
      </x:c>
      <x:c r="E149" s="43" t="str">
        <x:v>SP</x:v>
      </x:c>
      <x:c r="F149" s="43" t="str">
        <x:v>Sudeste</x:v>
      </x:c>
      <x:c r="G149" s="43" t="str">
        <x:v>B - Média</x:v>
      </x:c>
      <x:c r="H149" s="43" t="str">
        <x:v>Não contatado</x:v>
      </x:c>
      <x:c r="I149" s="43" t="str">
        <x:v>vedalara@vedalara.com.br</x:v>
      </x:c>
      <x:c r="J149" s="43" t="str">
        <x:v>https://www.vedalara.com.br/</x:v>
      </x:c>
      <x:c r="K149" s="43" t="str">
        <x:v>Sim</x:v>
      </x:c>
      <x:c r="L149" s="43" t="str">
        <x:v>especialista ou revenda de vedações industriais</x:v>
      </x:c>
      <x:c r="M149" s="43" t="str">
        <x:v>máquinas, automotivo, químico, alimentos e manutenção industrial</x:v>
      </x:c>
      <x:c r="N149" s="43" t="str">
        <x:v>gaxetas, raspadores, anéis guia, vedações de haste e pistão, retentores especiais e reposições fora de linha</x:v>
      </x:c>
      <x:c r="O149" s="43" t="str">
        <x:v>peças sob medida em PTFE puro ou carregado, poliuretano, NBR, FKM, nylon e outros materiais técnicos</x:v>
      </x:c>
      <x:c r="P149" s="43" t="str">
        <x:v>complementar o portfólio com itens especiais, pequenas e médias séries, urgências e fabricação por desenho ou amostra</x:v>
      </x:c>
      <x:c r="Q149" s="43" t="str">
        <x:v>Segmento da base: Vedações; localização: São Paulo/SP; contexto industrial regional usado apenas como hipótese comercial. Domínio do e-mail coincide com a fonte oficial. Nenhuma afirmação sobre clientes ou aplicações específicas da empresa foi feita sem fonte.</x:v>
      </x:c>
      <x:c r="R149" s="43" t="str">
        <x:v>Alta</x:v>
      </x:c>
      <x:c r="S149" s="43" t="str">
        <x:v>Recomendada</x:v>
      </x:c>
      <x:c r="T149" s="43" t="str">
        <x:v>Peças especiais para complementar o atendimento da Vedalara Vedações Industriais</x:v>
      </x:c>
      <x:c r="U149" s="43" t="str">
        <x:v>Olá, equipe da Vedalara Vedações Industriais,</x:v>
      </x:c>
      <x:c r="V149" s="43" t="str">
        <x:v>Olá, equipe da Vedalara Vedações Industriais,
Estou entrando em contato porque a atuação da Vedalara Vedações Industriais em vedações tem boa aderência ao tipo de fabricação especial que realizamos na Parts Seals.
Em São Paulo/SP,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49" s="43" t="str">
        <x:v>Olá, equipe da Vedalara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49" s="43" t="str">
        <x:v>Olá, equipe da Vedalara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49" s="43" t="str">
        <x:v>Vocês recebem consultas de peças especiais que acabam sem atendimento por prazo, material, quantidade ou ausência de desenho?</x:v>
      </x:c>
      <x:c r="Z149" s="43" t="str">
        <x:v>Este contato foi direcionado a um canal corporativo público por possível aderência entre as atividades das empresas. Para não receber novas mensagens da Parts Seals, responda com REMOVER.</x:v>
      </x:c>
      <x:c r="AA149" s="43" t="str">
        <x:v>Aguardando aprovação</x:v>
      </x:c>
      <x:c r="AB149" s="43" t="str">
        <x:v>Não</x:v>
      </x:c>
      <x:c r="AC149" s="44"/>
      <x:c r="AD149" s="44"/>
      <x:c r="AE149" s="44"/>
      <x:c r="AF149" s="44"/>
      <x:c r="AG149" s="43"/>
      <x:c r="AH149" s="43"/>
      <x:c r="AI149" s="43" t="str">
        <x:v>Não</x:v>
      </x:c>
      <x:c r="AJ149" s="43"/>
      <x:c r="AK149" s="43"/>
      <x:c r="AL149" s="43" t="str">
        <x:v>https://perfildaindustria.portaldaindustria.com.br/estado/tudo/sp</x:v>
      </x:c>
      <x:c r="AM149" s="43" t="str">
        <x:v>https://www.vedalara.com.br/</x:v>
      </x:c>
      <x:c r="AN149" s="43" t="str">
        <x:v>Pesquise a empresa Vedalara Vedações Industriais,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49" s="43" t="str">
        <x:v>2026-07-24 v1</x:v>
      </x:c>
    </x:row>
    <x:row r="150" ht="72" customHeight="1">
      <x:c r="A150" s="43" t="n">
        <x:v>149</x:v>
      </x:c>
      <x:c r="B150" s="43" t="str">
        <x:v>Vedaleste</x:v>
      </x:c>
      <x:c r="C150" s="43" t="str">
        <x:v>Vedações</x:v>
      </x:c>
      <x:c r="D150" s="43" t="str">
        <x:v>São Paulo</x:v>
      </x:c>
      <x:c r="E150" s="43" t="str">
        <x:v>SP</x:v>
      </x:c>
      <x:c r="F150" s="43" t="str">
        <x:v>Sudeste</x:v>
      </x:c>
      <x:c r="G150" s="43" t="str">
        <x:v>C - Baixa</x:v>
      </x:c>
      <x:c r="H150" s="43" t="str">
        <x:v>Não contatado</x:v>
      </x:c>
      <x:c r="I150" s="43" t="str">
        <x:v>vendas@vedaleste.com.br</x:v>
      </x:c>
      <x:c r="J150" s="43" t="str">
        <x:v>https://vedaleste.com.br/contato.php</x:v>
      </x:c>
      <x:c r="K150" s="43" t="str">
        <x:v>Sim</x:v>
      </x:c>
      <x:c r="L150" s="43" t="str">
        <x:v>especialista ou revenda de vedações industriais</x:v>
      </x:c>
      <x:c r="M150" s="43" t="str">
        <x:v>máquinas, automotivo, químico, alimentos e manutenção industrial</x:v>
      </x:c>
      <x:c r="N150" s="43" t="str">
        <x:v>gaxetas, raspadores, anéis guia, vedações de haste e pistão, retentores especiais e reposições fora de linha</x:v>
      </x:c>
      <x:c r="O150" s="43" t="str">
        <x:v>peças sob medida em PTFE puro ou carregado, poliuretano, NBR, FKM, nylon e outros materiais técnicos</x:v>
      </x:c>
      <x:c r="P150" s="43" t="str">
        <x:v>complementar o portfólio com itens especiais, pequenas e médias séries, urgências e fabricação por desenho ou amostra</x:v>
      </x:c>
      <x:c r="Q150" s="43" t="str">
        <x:v>Segmento da base: Vedações; localização: São Paulo/SP; contexto industrial regional usado apenas como hipótese comercial. Domínio do e-mail coincide com a fonte oficial. Nenhuma afirmação sobre clientes ou aplicações específicas da empresa foi feita sem fonte.</x:v>
      </x:c>
      <x:c r="R150" s="43" t="str">
        <x:v>Alta</x:v>
      </x:c>
      <x:c r="S150" s="43" t="str">
        <x:v>Recomendada</x:v>
      </x:c>
      <x:c r="T150" s="43" t="str">
        <x:v>Possível parceria técnica — Vedaleste e Parts Seals</x:v>
      </x:c>
      <x:c r="U150" s="43" t="str">
        <x:v>Olá, equipe da Vedaleste,</x:v>
      </x:c>
      <x:c r="V150" s="43" t="str">
        <x:v>Olá, equipe da Vedaleste,
Ao analisar o perfil da Vedaleste em São Paulo, identifiquei uma possibilidade de parceria para demandas de vedação que não se encaixam bem em linhas padronizadas.
Em São Paulo/SP,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50" s="43" t="str">
        <x:v>Olá, equipe da Vedaleste,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50" s="43" t="str">
        <x:v>Olá, equipe da Vedaleste,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50" s="43" t="str">
        <x:v>Vocês recebem consultas de peças especiais que acabam sem atendimento por prazo, material, quantidade ou ausência de desenho?</x:v>
      </x:c>
      <x:c r="Z150" s="43" t="str">
        <x:v>Este contato foi direcionado a um canal corporativo público por possível aderência entre as atividades das empresas. Para não receber novas mensagens da Parts Seals, responda com REMOVER.</x:v>
      </x:c>
      <x:c r="AA150" s="43" t="str">
        <x:v>Aguardando aprovação</x:v>
      </x:c>
      <x:c r="AB150" s="43" t="str">
        <x:v>Não</x:v>
      </x:c>
      <x:c r="AC150" s="44"/>
      <x:c r="AD150" s="44"/>
      <x:c r="AE150" s="44"/>
      <x:c r="AF150" s="44"/>
      <x:c r="AG150" s="43"/>
      <x:c r="AH150" s="43"/>
      <x:c r="AI150" s="43" t="str">
        <x:v>Não</x:v>
      </x:c>
      <x:c r="AJ150" s="43"/>
      <x:c r="AK150" s="43"/>
      <x:c r="AL150" s="43" t="str">
        <x:v>https://perfildaindustria.portaldaindustria.com.br/estado/tudo/sp</x:v>
      </x:c>
      <x:c r="AM150" s="43" t="str">
        <x:v>https://vedaleste.com.br/contato.php</x:v>
      </x:c>
      <x:c r="AN150" s="43" t="str">
        <x:v>Pesquise a empresa Vedaleste,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50" s="43" t="str">
        <x:v>2026-07-24 v1</x:v>
      </x:c>
    </x:row>
    <x:row r="151" ht="72" customHeight="1">
      <x:c r="A151" s="43" t="n">
        <x:v>150</x:v>
      </x:c>
      <x:c r="B151" s="43" t="str">
        <x:v>Vedatec Vedações</x:v>
      </x:c>
      <x:c r="C151" s="43" t="str">
        <x:v>Vedações</x:v>
      </x:c>
      <x:c r="D151" s="43" t="str">
        <x:v>São Paulo</x:v>
      </x:c>
      <x:c r="E151" s="43" t="str">
        <x:v>SP</x:v>
      </x:c>
      <x:c r="F151" s="43" t="str">
        <x:v>Sudeste</x:v>
      </x:c>
      <x:c r="G151" s="43" t="str">
        <x:v>A - Alta</x:v>
      </x:c>
      <x:c r="H151" s="43" t="str">
        <x:v>Não contatado</x:v>
      </x:c>
      <x:c r="I151" s="43" t="str">
        <x:v>vedatec@vedatec.com.br</x:v>
      </x:c>
      <x:c r="J151" s="43" t="str">
        <x:v>https://vedatec.com.br/</x:v>
      </x:c>
      <x:c r="K151" s="43" t="str">
        <x:v>Sim</x:v>
      </x:c>
      <x:c r="L151" s="43" t="str">
        <x:v>especialista ou revenda de vedações industriais</x:v>
      </x:c>
      <x:c r="M151" s="43" t="str">
        <x:v>máquinas, automotivo, químico, alimentos e manutenção industrial</x:v>
      </x:c>
      <x:c r="N151" s="43" t="str">
        <x:v>gaxetas, raspadores, anéis guia, vedações de haste e pistão, retentores especiais e reposições fora de linha</x:v>
      </x:c>
      <x:c r="O151" s="43" t="str">
        <x:v>peças sob medida em PTFE puro ou carregado, poliuretano, NBR, FKM, nylon e outros materiais técnicos</x:v>
      </x:c>
      <x:c r="P151" s="43" t="str">
        <x:v>complementar o portfólio com itens especiais, pequenas e médias séries, urgências e fabricação por desenho ou amostra</x:v>
      </x:c>
      <x:c r="Q151" s="43" t="str">
        <x:v>Segmento da base: Vedações; localização: São Paulo/SP; contexto industrial regional usado apenas como hipótese comercial. Domínio do e-mail coincide com a fonte oficial. Nenhuma afirmação sobre clientes ou aplicações específicas da empresa foi feita sem fonte.</x:v>
      </x:c>
      <x:c r="R151" s="43" t="str">
        <x:v>Alta</x:v>
      </x:c>
      <x:c r="S151" s="43" t="str">
        <x:v>Recomendada</x:v>
      </x:c>
      <x:c r="T151" s="43" t="str">
        <x:v>Apoio em vedações sob medida para a Vedatec Vedações</x:v>
      </x:c>
      <x:c r="U151" s="43" t="str">
        <x:v>Olá, equipe da Vedatec Vedações,</x:v>
      </x:c>
      <x:c r="V151" s="43" t="str">
        <x:v>Olá, equipe da Vedatec Vedações,
A Parts Seals está ampliando parcerias com empresas técnicas do setor, e o perfil da Vedatec Vedações chamou nossa atenção pela atuação em vedações.
Em São Paulo/SP, cadeias como máquinas, automotivo, químico,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51" s="43" t="str">
        <x:v>Olá, equipe da Vedatec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51" s="43" t="str">
        <x:v>Olá, equipe da Vedatec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51" s="43" t="str">
        <x:v>Vocês recebem consultas de peças especiais que acabam sem atendimento por prazo, material, quantidade ou ausência de desenho?</x:v>
      </x:c>
      <x:c r="Z151" s="43" t="str">
        <x:v>Este contato foi direcionado a um canal corporativo público por possível aderência entre as atividades das empresas. Para não receber novas mensagens da Parts Seals, responda com REMOVER.</x:v>
      </x:c>
      <x:c r="AA151" s="43" t="str">
        <x:v>Aguardando aprovação</x:v>
      </x:c>
      <x:c r="AB151" s="43" t="str">
        <x:v>Não</x:v>
      </x:c>
      <x:c r="AC151" s="44"/>
      <x:c r="AD151" s="44"/>
      <x:c r="AE151" s="44"/>
      <x:c r="AF151" s="44"/>
      <x:c r="AG151" s="43"/>
      <x:c r="AH151" s="43"/>
      <x:c r="AI151" s="43" t="str">
        <x:v>Não</x:v>
      </x:c>
      <x:c r="AJ151" s="43"/>
      <x:c r="AK151" s="43"/>
      <x:c r="AL151" s="43" t="str">
        <x:v>https://perfildaindustria.portaldaindustria.com.br/estado/tudo/sp</x:v>
      </x:c>
      <x:c r="AM151" s="43" t="str">
        <x:v>https://vedatec.com.br/</x:v>
      </x:c>
      <x:c r="AN151" s="43" t="str">
        <x:v>Pesquise a empresa Vedatec Vedações,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51" s="43" t="str">
        <x:v>2026-07-24 v1</x:v>
      </x:c>
    </x:row>
    <x:row r="152" ht="72" customHeight="1">
      <x:c r="A152" s="43" t="n">
        <x:v>151</x:v>
      </x:c>
      <x:c r="B152" s="43" t="str">
        <x:v>X3 Rolamentos e Acessórios Industriais</x:v>
      </x:c>
      <x:c r="C152" s="43" t="str">
        <x:v>Rolamentos/Vedações</x:v>
      </x:c>
      <x:c r="D152" s="43" t="str">
        <x:v>São Paulo</x:v>
      </x:c>
      <x:c r="E152" s="43" t="str">
        <x:v>SP</x:v>
      </x:c>
      <x:c r="F152" s="43" t="str">
        <x:v>Sudeste</x:v>
      </x:c>
      <x:c r="G152" s="43" t="str">
        <x:v>B - Média</x:v>
      </x:c>
      <x:c r="H152" s="43" t="str">
        <x:v>Não contatado</x:v>
      </x:c>
      <x:c r="I152" s="43" t="str">
        <x:v>contato@x3rolamentos.com.br</x:v>
      </x:c>
      <x:c r="J152" s="43" t="str">
        <x:v>https://www.x3rolamentos.com.br/orcamento-x3-rolamentos-distribuidora-e-importadora/</x:v>
      </x:c>
      <x:c r="K152" s="43" t="str">
        <x:v>Sim</x:v>
      </x:c>
      <x:c r="L152" s="43" t="str">
        <x:v>distribuidor de rolamentos, retentores e vedações</x:v>
      </x:c>
      <x:c r="M152" s="43" t="str">
        <x:v>máquinas, automotivo, químico, alimentos e manutenção industrial</x:v>
      </x:c>
      <x:c r="N152" s="43" t="str">
        <x:v>retentores especiais, anéis, vedações rotativas, kits e componentes para manutenção de máquinas</x:v>
      </x:c>
      <x:c r="O152" s="43" t="str">
        <x:v>peças especiais em NBR, FKM, PU e PTFE, inclusive medidas fora de catálogo</x:v>
      </x:c>
      <x:c r="P152" s="43" t="str">
        <x:v>complementar a linha padronizada com reposições especiais e itens descontinuados</x:v>
      </x:c>
      <x:c r="Q152" s="43" t="str">
        <x:v>Segmento da base: Rolamentos/Vedações; localização: São Paulo/SP; contexto industrial regional usado apenas como hipótese comercial. Domínio do e-mail coincide com a fonte oficial. Nenhuma afirmação sobre clientes ou aplicações específicas da empresa foi feita sem fonte.</x:v>
      </x:c>
      <x:c r="R152" s="43" t="str">
        <x:v>Alta</x:v>
      </x:c>
      <x:c r="S152" s="43" t="str">
        <x:v>Recomendada</x:v>
      </x:c>
      <x:c r="T152" s="43" t="str">
        <x:v>Reposições especiais e itens descontinuados</x:v>
      </x:c>
      <x:c r="U152" s="43" t="str">
        <x:v>Olá, equipe da X3 Rolamentos e Acessórios Industriais,</x:v>
      </x:c>
      <x:c r="V152" s="43" t="str">
        <x:v>Olá, equipe da X3 Rolamentos e Acessórios Industriais,
Gostaria de apresentar uma possibilidade de apoio complementar à X3 Rolamentos e Acessórios Industriais para peças especiais, urgências e reposições fora de catálogo.
Em São Paulo/SP, cadeias como máquinas, automotivo, químico, alimentos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PU, NBR,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152" s="43" t="str">
        <x:v>Olá, equipe da X3 Rolamentos e Acessórios Industriais,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152" s="43" t="str">
        <x:v>Olá, equipe da X3 Rolamentos e Acessórios Industriais,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52" s="43" t="str">
        <x:v>Vocês têm pedidos de retentores ou vedações em medidas especiais que não encontram nos catálogos tradicionais?</x:v>
      </x:c>
      <x:c r="Z152" s="43" t="str">
        <x:v>Este contato foi direcionado a um canal corporativo público por possível aderência entre as atividades das empresas. Para não receber novas mensagens da Parts Seals, responda com REMOVER.</x:v>
      </x:c>
      <x:c r="AA152" s="43" t="str">
        <x:v>Aguardando aprovação</x:v>
      </x:c>
      <x:c r="AB152" s="43" t="str">
        <x:v>Não</x:v>
      </x:c>
      <x:c r="AC152" s="44"/>
      <x:c r="AD152" s="44"/>
      <x:c r="AE152" s="44"/>
      <x:c r="AF152" s="44"/>
      <x:c r="AG152" s="43"/>
      <x:c r="AH152" s="43"/>
      <x:c r="AI152" s="43" t="str">
        <x:v>Não</x:v>
      </x:c>
      <x:c r="AJ152" s="43"/>
      <x:c r="AK152" s="43"/>
      <x:c r="AL152" s="43" t="str">
        <x:v>https://perfildaindustria.portaldaindustria.com.br/estado/tudo/sp</x:v>
      </x:c>
      <x:c r="AM152" s="43" t="str">
        <x:v>https://www.x3rolamentos.com.br/orcamento-x3-rolamentos-distribuidora-e-importadora/</x:v>
      </x:c>
      <x:c r="AN152" s="43" t="str">
        <x:v>Pesquise a empresa X3 Rolamentos e Acessórios Industriais, de São Paulo/SP,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52" s="43" t="str">
        <x:v>2026-07-24 v1</x:v>
      </x:c>
    </x:row>
    <x:row r="153" ht="72" customHeight="1">
      <x:c r="A153" s="43" t="n">
        <x:v>152</x:v>
      </x:c>
      <x:c r="B153" s="43" t="str">
        <x:v>A Casa das Vedações</x:v>
      </x:c>
      <x:c r="C153" s="43" t="str">
        <x:v>Vedações</x:v>
      </x:c>
      <x:c r="D153" s="43" t="str">
        <x:v>Cascavel</x:v>
      </x:c>
      <x:c r="E153" s="43" t="str">
        <x:v>PR</x:v>
      </x:c>
      <x:c r="F153" s="43" t="str">
        <x:v>Sul</x:v>
      </x:c>
      <x:c r="G153" s="43" t="str">
        <x:v>B - Média</x:v>
      </x:c>
      <x:c r="H153" s="43" t="str">
        <x:v>Não contatado</x:v>
      </x:c>
      <x:c r="I153" s="43"/>
      <x:c r="J153" s="43" t="str">
        <x:v>Não localizado em fonte pública confiável até 24/07/2026</x:v>
      </x:c>
      <x:c r="K153" s="43" t="str">
        <x:v>Não</x:v>
      </x:c>
      <x:c r="L153" s="43" t="str">
        <x:v>especialista ou revenda de vedações industriais</x:v>
      </x:c>
      <x:c r="M153" s="43" t="str">
        <x:v>agroindústria, alimentos e manutenção de máquinas</x:v>
      </x:c>
      <x:c r="N153" s="43" t="str">
        <x:v>gaxetas, raspadores, anéis guia, vedações de haste e pistão, retentores especiais e reposições fora de linha</x:v>
      </x:c>
      <x:c r="O153" s="43" t="str">
        <x:v>peças sob medida em PTFE puro ou carregado, poliuretano, NBR, FKM, nylon e outros materiais técnicos</x:v>
      </x:c>
      <x:c r="P153" s="43" t="str">
        <x:v>complementar o portfólio com itens especiais, pequenas e médias séries, urgências e fabricação por desenho ou amostra</x:v>
      </x:c>
      <x:c r="Q153" s="43" t="str">
        <x:v>Segmento da base: Vedações; localização: Cascavel/PR; contexto industrial regional usado apenas como hipótese comercial. Sem e-mail público localizado. Nenhuma afirmação sobre clientes ou aplicações específicas da empresa foi feita sem fonte.</x:v>
      </x:c>
      <x:c r="R153" s="43" t="str">
        <x:v>Baixa</x:v>
      </x:c>
      <x:c r="S153" s="43" t="str">
        <x:v>Sim</x:v>
      </x:c>
      <x:c r="T153" s="43" t="str">
        <x:v>Peças especiais para complementar o atendimento da A Casa das Vedações</x:v>
      </x:c>
      <x:c r="U153" s="43" t="str">
        <x:v>Olá, equipe da A Casa das Vedações,</x:v>
      </x:c>
      <x:c r="V153" s="43" t="str">
        <x:v>Olá, equipe da A Casa das Vedações,
Estou entrando em contato porque a atuação da A Casa das Vedações em vedações tem boa aderência ao tipo de fabricação especial que realizamos na Parts Seals.
Em Cascavel/PR, cadeias como agroindústria, alimentos e manutenção de máquinas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53" s="43" t="str">
        <x:v>Olá, equipe da A Casa das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53" s="43" t="str">
        <x:v>Olá, equipe da A Casa das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53" s="43" t="str">
        <x:v>Vocês recebem consultas de peças especiais que acabam sem atendimento por prazo, material, quantidade ou ausência de desenho?</x:v>
      </x:c>
      <x:c r="Z153" s="43" t="str">
        <x:v>Este contato foi direcionado a um canal corporativo público por possível aderência entre as atividades das empresas. Para não receber novas mensagens da Parts Seals, responda com REMOVER.</x:v>
      </x:c>
      <x:c r="AA153" s="43" t="str">
        <x:v>Sem e-mail</x:v>
      </x:c>
      <x:c r="AB153" s="43" t="str">
        <x:v>Não</x:v>
      </x:c>
      <x:c r="AC153" s="44"/>
      <x:c r="AD153" s="44"/>
      <x:c r="AE153" s="44"/>
      <x:c r="AF153" s="44"/>
      <x:c r="AG153" s="43"/>
      <x:c r="AH153" s="43"/>
      <x:c r="AI153" s="43" t="str">
        <x:v>Não</x:v>
      </x:c>
      <x:c r="AJ153" s="43"/>
      <x:c r="AK153" s="43"/>
      <x:c r="AL153" s="43" t="str">
        <x:v>https://perfildaindustria.portaldaindustria.com.br/estado/tudo/pr</x:v>
      </x:c>
      <x:c r="AM153" s="43" t="str">
        <x:v>Não localizado em fonte pública confiável até 24/07/2026</x:v>
      </x:c>
      <x:c r="AN153" s="43" t="str">
        <x:v>Pesquise a empresa A Casa das Vedações, de Cascavel/PR,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53" s="43" t="str">
        <x:v>2026-07-24 v1</x:v>
      </x:c>
    </x:row>
    <x:row r="154" ht="72" customHeight="1">
      <x:c r="A154" s="43" t="n">
        <x:v>153</x:v>
      </x:c>
      <x:c r="B154" s="43" t="str">
        <x:v>Anéis Ved-tech Vedações Industriais</x:v>
      </x:c>
      <x:c r="C154" s="43" t="str">
        <x:v>Vedações</x:v>
      </x:c>
      <x:c r="D154" s="43" t="str">
        <x:v>Curitiba</x:v>
      </x:c>
      <x:c r="E154" s="43" t="str">
        <x:v>PR</x:v>
      </x:c>
      <x:c r="F154" s="43" t="str">
        <x:v>Sul</x:v>
      </x:c>
      <x:c r="G154" s="43" t="str">
        <x:v>B - Média</x:v>
      </x:c>
      <x:c r="H154" s="43" t="str">
        <x:v>Não contatado</x:v>
      </x:c>
      <x:c r="I154" s="43" t="str">
        <x:v>contato@aneisved-tech.com.br</x:v>
      </x:c>
      <x:c r="J154" s="43" t="str">
        <x:v>https://aneisved-tech.com.br/contato/</x:v>
      </x:c>
      <x:c r="K154" s="43" t="str">
        <x:v>Sim</x:v>
      </x:c>
      <x:c r="L154" s="43" t="str">
        <x:v>especialista ou revenda de vedações industriais</x:v>
      </x:c>
      <x:c r="M154" s="43" t="str">
        <x:v>automotivo, máquinas, alimentos, químico e manutenção industrial</x:v>
      </x:c>
      <x:c r="N154" s="43" t="str">
        <x:v>gaxetas, raspadores, anéis guia, vedações de haste e pistão, retentores especiais e reposições fora de linha</x:v>
      </x:c>
      <x:c r="O154" s="43" t="str">
        <x:v>peças sob medida em PTFE puro ou carregado, poliuretano, NBR, FKM, nylon e outros materiais técnicos</x:v>
      </x:c>
      <x:c r="P154" s="43" t="str">
        <x:v>complementar o portfólio com itens especiais, pequenas e médias séries, urgências e fabricação por desenho ou amostra</x:v>
      </x:c>
      <x:c r="Q154" s="43" t="str">
        <x:v>Segmento da base: Vedações; localização: Curitiba/PR; contexto industrial regional usado apenas como hipótese comercial. Domínio do e-mail coincide com a fonte oficial. Nenhuma afirmação sobre clientes ou aplicações específicas da empresa foi feita sem fonte.</x:v>
      </x:c>
      <x:c r="R154" s="43" t="str">
        <x:v>Alta</x:v>
      </x:c>
      <x:c r="S154" s="43" t="str">
        <x:v>Recomendada</x:v>
      </x:c>
      <x:c r="T154" s="43" t="str">
        <x:v>Possível parceria técnica — Anéis Ved-tech Vedações Industriais e Parts Seals</x:v>
      </x:c>
      <x:c r="U154" s="43" t="str">
        <x:v>Olá, equipe da Anéis Ved-tech Vedações Industriais,</x:v>
      </x:c>
      <x:c r="V154" s="43" t="str">
        <x:v>Olá, equipe da Anéis Ved-tech Vedações Industriais,
Ao analisar o perfil da Anéis Ved-tech Vedações Industriais em Curitiba, identifiquei uma possibilidade de parceria para demandas de vedação que não se encaixam bem em linhas padronizadas.
Em Curitiba/PR, cadeias como automotivo, máquinas, alimentos, químico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54" s="43" t="str">
        <x:v>Olá, equipe da Anéis Ved-tech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54" s="43" t="str">
        <x:v>Olá, equipe da Anéis Ved-tech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54" s="43" t="str">
        <x:v>Vocês recebem consultas de peças especiais que acabam sem atendimento por prazo, material, quantidade ou ausência de desenho?</x:v>
      </x:c>
      <x:c r="Z154" s="43" t="str">
        <x:v>Este contato foi direcionado a um canal corporativo público por possível aderência entre as atividades das empresas. Para não receber novas mensagens da Parts Seals, responda com REMOVER.</x:v>
      </x:c>
      <x:c r="AA154" s="43" t="str">
        <x:v>Aguardando aprovação</x:v>
      </x:c>
      <x:c r="AB154" s="43" t="str">
        <x:v>Não</x:v>
      </x:c>
      <x:c r="AC154" s="44"/>
      <x:c r="AD154" s="44"/>
      <x:c r="AE154" s="44"/>
      <x:c r="AF154" s="44"/>
      <x:c r="AG154" s="43"/>
      <x:c r="AH154" s="43"/>
      <x:c r="AI154" s="43" t="str">
        <x:v>Não</x:v>
      </x:c>
      <x:c r="AJ154" s="43"/>
      <x:c r="AK154" s="43"/>
      <x:c r="AL154" s="43" t="str">
        <x:v>https://perfildaindustria.portaldaindustria.com.br/estado/tudo/pr</x:v>
      </x:c>
      <x:c r="AM154" s="43" t="str">
        <x:v>https://aneisved-tech.com.br/contato/</x:v>
      </x:c>
      <x:c r="AN154" s="43" t="str">
        <x:v>Pesquise a empresa Anéis Ved-tech Vedações Industriais, de Curitiba/PR,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54" s="43" t="str">
        <x:v>2026-07-24 v1</x:v>
      </x:c>
    </x:row>
    <x:row r="155" ht="72" customHeight="1">
      <x:c r="A155" s="43" t="n">
        <x:v>154</x:v>
      </x:c>
      <x:c r="B155" s="43" t="str">
        <x:v>Comlider Indústria de Vedações</x:v>
      </x:c>
      <x:c r="C155" s="43" t="str">
        <x:v>Fabricante/Vedações</x:v>
      </x:c>
      <x:c r="D155" s="43" t="str">
        <x:v>Curitiba</x:v>
      </x:c>
      <x:c r="E155" s="43" t="str">
        <x:v>PR</x:v>
      </x:c>
      <x:c r="F155" s="43" t="str">
        <x:v>Sul</x:v>
      </x:c>
      <x:c r="G155" s="43" t="str">
        <x:v>B - Média</x:v>
      </x:c>
      <x:c r="H155" s="43" t="str">
        <x:v>Não contatado</x:v>
      </x:c>
      <x:c r="I155" s="43" t="str">
        <x:v>vendas@comlider.com.br</x:v>
      </x:c>
      <x:c r="J155" s="43" t="str">
        <x:v>https://comlider.com.br/</x:v>
      </x:c>
      <x:c r="K155" s="43" t="str">
        <x:v>Sim</x:v>
      </x:c>
      <x:c r="L155" s="43" t="str">
        <x:v>fabricante ou transformador especializado em vedações</x:v>
      </x:c>
      <x:c r="M155" s="43" t="str">
        <x:v>automotivo, máquinas, alimentos, químico e manutenção industrial</x:v>
      </x:c>
      <x:c r="N155" s="43" t="str">
        <x:v>itens fora de padrão, picos de demanda, protótipos, reposições urgentes e lotes que exigem processo ou material específico</x:v>
      </x:c>
      <x:c r="O155" s="43" t="str">
        <x:v>componentes usinados e moldados em PTFE puro ou carregado, PU, NBR, FKM e materiais técnicos, conforme desenho ou amostra</x:v>
      </x:c>
      <x:c r="P155" s="43" t="str">
        <x:v>atuar como apoio produtivo complementar, preservando a relação comercial de vocês com o cliente final</x:v>
      </x:c>
      <x:c r="Q155" s="43" t="str">
        <x:v>Segmento da base: Fabricante/Vedações; localização: Curitiba/PR; contexto industrial regional usado apenas como hipótese comercial. Domínio do e-mail coincide com a fonte oficial. Nenhuma afirmação sobre clientes ou aplicações específicas da empresa foi feita sem fonte.</x:v>
      </x:c>
      <x:c r="R155" s="43" t="str">
        <x:v>Alta</x:v>
      </x:c>
      <x:c r="S155" s="43" t="str">
        <x:v>Recomendada</x:v>
      </x:c>
      <x:c r="T155" s="43" t="str">
        <x:v>Capacidade complementar em vedações — Comlider Indústria de Vedações</x:v>
      </x:c>
      <x:c r="U155" s="43" t="str">
        <x:v>Olá, equipe da Comlider Indústria de Vedações,</x:v>
      </x:c>
      <x:c r="V155" s="43" t="str">
        <x:v>Olá, equipe da Comlider Indústria de Vedações,
A Parts Seals está ampliando parcerias com empresas técnicas do setor, e o perfil da Comlider Indústria de Vedações chamou nossa atenção pela atuação em fabricante/vedações.
Em Curitiba/PR, cadeias como automotivo, máquinas, alimentos, químico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55" s="43" t="str">
        <x:v>Olá, equipe da Comlider Indústria de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55" s="43" t="str">
        <x:v>Olá, equipe da Comlider Indústria de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55" s="43" t="str">
        <x:v>Existe hoje algum item especial, urgente ou de baixa quantidade que esteja ocupando capacidade ou ficando sem atendimento?</x:v>
      </x:c>
      <x:c r="Z155" s="43" t="str">
        <x:v>Este contato foi direcionado a um canal corporativo público por possível aderência entre as atividades das empresas. Para não receber novas mensagens da Parts Seals, responda com REMOVER.</x:v>
      </x:c>
      <x:c r="AA155" s="43" t="str">
        <x:v>Aguardando aprovação</x:v>
      </x:c>
      <x:c r="AB155" s="43" t="str">
        <x:v>Não</x:v>
      </x:c>
      <x:c r="AC155" s="44"/>
      <x:c r="AD155" s="44"/>
      <x:c r="AE155" s="44"/>
      <x:c r="AF155" s="44"/>
      <x:c r="AG155" s="43"/>
      <x:c r="AH155" s="43"/>
      <x:c r="AI155" s="43" t="str">
        <x:v>Não</x:v>
      </x:c>
      <x:c r="AJ155" s="43"/>
      <x:c r="AK155" s="43"/>
      <x:c r="AL155" s="43" t="str">
        <x:v>https://perfildaindustria.portaldaindustria.com.br/estado/tudo/pr</x:v>
      </x:c>
      <x:c r="AM155" s="43" t="str">
        <x:v>https://comlider.com.br/</x:v>
      </x:c>
      <x:c r="AN155" s="43" t="str">
        <x:v>Pesquise a empresa Comlider Indústria de Vedações, de Curitiba/PR,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55" s="43" t="str">
        <x:v>2026-07-24 v1</x:v>
      </x:c>
    </x:row>
    <x:row r="156" ht="72" customHeight="1">
      <x:c r="A156" s="43" t="n">
        <x:v>155</x:v>
      </x:c>
      <x:c r="B156" s="43" t="str">
        <x:v>Companhia da Vedação</x:v>
      </x:c>
      <x:c r="C156" s="43" t="str">
        <x:v>Fabricante/Vedações</x:v>
      </x:c>
      <x:c r="D156" s="43" t="str">
        <x:v>Curitiba</x:v>
      </x:c>
      <x:c r="E156" s="43" t="str">
        <x:v>PR</x:v>
      </x:c>
      <x:c r="F156" s="43" t="str">
        <x:v>Sul</x:v>
      </x:c>
      <x:c r="G156" s="43" t="str">
        <x:v>A - Alta</x:v>
      </x:c>
      <x:c r="H156" s="43" t="str">
        <x:v>Não contatado</x:v>
      </x:c>
      <x:c r="I156" s="43"/>
      <x:c r="J156" s="43" t="str">
        <x:v>Não localizado em fonte pública confiável até 24/07/2026</x:v>
      </x:c>
      <x:c r="K156" s="43" t="str">
        <x:v>Não</x:v>
      </x:c>
      <x:c r="L156" s="43" t="str">
        <x:v>fabricante ou transformador especializado em vedações</x:v>
      </x:c>
      <x:c r="M156" s="43" t="str">
        <x:v>automotivo, máquinas, alimentos, químico e manutenção industrial</x:v>
      </x:c>
      <x:c r="N156" s="43" t="str">
        <x:v>itens fora de padrão, picos de demanda, protótipos, reposições urgentes e lotes que exigem processo ou material específico</x:v>
      </x:c>
      <x:c r="O156" s="43" t="str">
        <x:v>componentes usinados e moldados em PTFE puro ou carregado, PU, NBR, FKM e materiais técnicos, conforme desenho ou amostra</x:v>
      </x:c>
      <x:c r="P156" s="43" t="str">
        <x:v>atuar como apoio produtivo complementar, preservando a relação comercial de vocês com o cliente final</x:v>
      </x:c>
      <x:c r="Q156" s="43" t="str">
        <x:v>Segmento da base: Fabricante/Vedações; localização: Curitiba/PR; contexto industrial regional usado apenas como hipótese comercial. Sem e-mail público localizado. Nenhuma afirmação sobre clientes ou aplicações específicas da empresa foi feita sem fonte.</x:v>
      </x:c>
      <x:c r="R156" s="43" t="str">
        <x:v>Baixa</x:v>
      </x:c>
      <x:c r="S156" s="43" t="str">
        <x:v>Sim</x:v>
      </x:c>
      <x:c r="T156" s="43" t="str">
        <x:v>Itens urgentes ou fora de padrão — Companhia da Vedação</x:v>
      </x:c>
      <x:c r="U156" s="43" t="str">
        <x:v>Olá, equipe da Companhia da Vedação,</x:v>
      </x:c>
      <x:c r="V156" s="43" t="str">
        <x:v>Olá, equipe da Companhia da Vedação,
Gostaria de apresentar uma possibilidade de apoio complementar à Companhia da Vedação para peças especiais, urgências e reposições fora de catálogo.
Em Curitiba/PR, cadeias como automotivo, máquinas, alimentos, químico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56" s="43" t="str">
        <x:v>Olá, equipe da Companhia da Vedação,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56" s="43" t="str">
        <x:v>Olá, equipe da Companhia da Vedação,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56" s="43" t="str">
        <x:v>Existe hoje algum item especial, urgente ou de baixa quantidade que esteja ocupando capacidade ou ficando sem atendimento?</x:v>
      </x:c>
      <x:c r="Z156" s="43" t="str">
        <x:v>Este contato foi direcionado a um canal corporativo público por possível aderência entre as atividades das empresas. Para não receber novas mensagens da Parts Seals, responda com REMOVER.</x:v>
      </x:c>
      <x:c r="AA156" s="43" t="str">
        <x:v>Sem e-mail</x:v>
      </x:c>
      <x:c r="AB156" s="43" t="str">
        <x:v>Não</x:v>
      </x:c>
      <x:c r="AC156" s="44"/>
      <x:c r="AD156" s="44"/>
      <x:c r="AE156" s="44"/>
      <x:c r="AF156" s="44"/>
      <x:c r="AG156" s="43"/>
      <x:c r="AH156" s="43"/>
      <x:c r="AI156" s="43" t="str">
        <x:v>Não</x:v>
      </x:c>
      <x:c r="AJ156" s="43"/>
      <x:c r="AK156" s="43"/>
      <x:c r="AL156" s="43" t="str">
        <x:v>https://perfildaindustria.portaldaindustria.com.br/estado/tudo/pr</x:v>
      </x:c>
      <x:c r="AM156" s="43" t="str">
        <x:v>Não localizado em fonte pública confiável até 24/07/2026</x:v>
      </x:c>
      <x:c r="AN156" s="43" t="str">
        <x:v>Pesquise a empresa Companhia da Vedação, de Curitiba/PR,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56" s="43" t="str">
        <x:v>2026-07-24 v1</x:v>
      </x:c>
    </x:row>
    <x:row r="157" ht="72" customHeight="1">
      <x:c r="A157" s="43" t="n">
        <x:v>156</x:v>
      </x:c>
      <x:c r="B157" s="43" t="str">
        <x:v>Parseals Vedações e Gaxetas Usinadas</x:v>
      </x:c>
      <x:c r="C157" s="43" t="str">
        <x:v>Fabricante/Vedações</x:v>
      </x:c>
      <x:c r="D157" s="43" t="str">
        <x:v>Curitiba</x:v>
      </x:c>
      <x:c r="E157" s="43" t="str">
        <x:v>PR</x:v>
      </x:c>
      <x:c r="F157" s="43" t="str">
        <x:v>Sul</x:v>
      </x:c>
      <x:c r="G157" s="43" t="str">
        <x:v>B - Média</x:v>
      </x:c>
      <x:c r="H157" s="43" t="str">
        <x:v>Não contatado</x:v>
      </x:c>
      <x:c r="I157" s="43" t="str">
        <x:v>parseals@parseals.com.br</x:v>
      </x:c>
      <x:c r="J157" s="43" t="str">
        <x:v>https://www.skf.com/binaries/pub330/Images/Distribuidores-Autorizados-IM-SKF-01-22_tcm_330-565060.pdf</x:v>
      </x:c>
      <x:c r="K157" s="43" t="str">
        <x:v>Sim</x:v>
      </x:c>
      <x:c r="L157" s="43" t="str">
        <x:v>fabricante ou transformador especializado em vedações</x:v>
      </x:c>
      <x:c r="M157" s="43" t="str">
        <x:v>automotivo, máquinas, alimentos, químico e manutenção industrial</x:v>
      </x:c>
      <x:c r="N157" s="43" t="str">
        <x:v>itens fora de padrão, picos de demanda, protótipos, reposições urgentes e lotes que exigem processo ou material específico</x:v>
      </x:c>
      <x:c r="O157" s="43" t="str">
        <x:v>componentes usinados e moldados em PTFE puro ou carregado, PU, NBR, FKM e materiais técnicos, conforme desenho ou amostra</x:v>
      </x:c>
      <x:c r="P157" s="43" t="str">
        <x:v>atuar como apoio produtivo complementar, preservando a relação comercial de vocês com o cliente final</x:v>
      </x:c>
      <x:c r="Q157" s="43" t="str">
        <x:v>Segmento da base: Fabricante/Vedações; localização: Curitiba/PR; contexto industrial regional usado apenas como hipótese comercial. Contato publicado em documento de fabricante ou distribuidor. Nenhuma afirmação sobre clientes ou aplicações específicas da empresa foi feita sem fonte.</x:v>
      </x:c>
      <x:c r="R157" s="43" t="str">
        <x:v>Moderada</x:v>
      </x:c>
      <x:c r="S157" s="43" t="str">
        <x:v>Sim</x:v>
      </x:c>
      <x:c r="T157" s="43" t="str">
        <x:v>Apoio produtivo para itens especiais — Parseals Vedações e Gaxetas Usinadas</x:v>
      </x:c>
      <x:c r="U157" s="43" t="str">
        <x:v>Olá, equipe da Parseals Vedações e Gaxetas Usinadas,</x:v>
      </x:c>
      <x:c r="V157" s="43" t="str">
        <x:v>Olá, equipe da Parseals Vedações e Gaxetas Usinadas,
Estou entrando em contato porque a atuação da Parseals Vedações e Gaxetas Usinadas em fabricante/vedações tem boa aderência ao tipo de fabricação especial que realizamos na Parts Seals.
Em Curitiba/PR, cadeias como automotivo, máquinas, alimentos, químico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57" s="43" t="str">
        <x:v>Olá, equipe da Parseals Vedações e Gaxetas Usinadas,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57" s="43" t="str">
        <x:v>Olá, equipe da Parseals Vedações e Gaxetas Usinadas,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57" s="43" t="str">
        <x:v>Existe hoje algum item especial, urgente ou de baixa quantidade que esteja ocupando capacidade ou ficando sem atendimento?</x:v>
      </x:c>
      <x:c r="Z157" s="43" t="str">
        <x:v>Este contato foi direcionado a um canal corporativo público por possível aderência entre as atividades das empresas. Para não receber novas mensagens da Parts Seals, responda com REMOVER.</x:v>
      </x:c>
      <x:c r="AA157" s="43" t="str">
        <x:v>Aguardando aprovação</x:v>
      </x:c>
      <x:c r="AB157" s="43" t="str">
        <x:v>Não</x:v>
      </x:c>
      <x:c r="AC157" s="44"/>
      <x:c r="AD157" s="44"/>
      <x:c r="AE157" s="44"/>
      <x:c r="AF157" s="44"/>
      <x:c r="AG157" s="43"/>
      <x:c r="AH157" s="43"/>
      <x:c r="AI157" s="43" t="str">
        <x:v>Não</x:v>
      </x:c>
      <x:c r="AJ157" s="43"/>
      <x:c r="AK157" s="43"/>
      <x:c r="AL157" s="43" t="str">
        <x:v>https://perfildaindustria.portaldaindustria.com.br/estado/tudo/pr</x:v>
      </x:c>
      <x:c r="AM157" s="43" t="str">
        <x:v>https://www.skf.com/binaries/pub330/Images/Distribuidores-Autorizados-IM-SKF-01-22_tcm_330-565060.pdf</x:v>
      </x:c>
      <x:c r="AN157" s="43" t="str">
        <x:v>Pesquise a empresa Parseals Vedações e Gaxetas Usinadas, de Curitiba/PR,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57" s="43" t="str">
        <x:v>2026-07-24 v1</x:v>
      </x:c>
    </x:row>
    <x:row r="158" ht="72" customHeight="1">
      <x:c r="A158" s="43" t="n">
        <x:v>157</x:v>
      </x:c>
      <x:c r="B158" s="43" t="str">
        <x:v>RCS Rings Seals</x:v>
      </x:c>
      <x:c r="C158" s="43" t="str">
        <x:v>Hidráulica/Vedações</x:v>
      </x:c>
      <x:c r="D158" s="43" t="str">
        <x:v>Curitiba</x:v>
      </x:c>
      <x:c r="E158" s="43" t="str">
        <x:v>PR</x:v>
      </x:c>
      <x:c r="F158" s="43" t="str">
        <x:v>Sul</x:v>
      </x:c>
      <x:c r="G158" s="43" t="str">
        <x:v>A - Alta</x:v>
      </x:c>
      <x:c r="H158" s="43" t="str">
        <x:v>Não contatado</x:v>
      </x:c>
      <x:c r="I158" s="43"/>
      <x:c r="J158" s="43" t="str">
        <x:v>Não localizado em fonte pública confiável até 24/07/2026</x:v>
      </x:c>
      <x:c r="K158" s="43" t="str">
        <x:v>Não</x:v>
      </x:c>
      <x:c r="L158" s="43" t="str">
        <x:v>fornecedor de componentes hidráulicos e vedações</x:v>
      </x:c>
      <x:c r="M158" s="43" t="str">
        <x:v>automotivo, máquinas, alimentos, químico e manutenção industrial</x:v>
      </x:c>
      <x:c r="N158" s="43" t="str">
        <x:v>gaxetas de haste e pistão, raspadores, anéis guia, vedações rotativas e kits para cilindros hidráulicos</x:v>
      </x:c>
      <x:c r="O158" s="43" t="str">
        <x:v>vedações em PU, PTFE puro ou carregado, NBR e FKM, dimensionadas conforme pressão, velocidade, fluido e temperatura</x:v>
      </x:c>
      <x:c r="P158" s="43" t="str">
        <x:v>apoiar reformas e montagens com peças não padronizadas, reposições antigas e fabricação rápida por amostra ou desenho</x:v>
      </x:c>
      <x:c r="Q158" s="43" t="str">
        <x:v>Segmento da base: Hidráulica/Vedações; localização: Curitiba/PR; contexto industrial regional usado apenas como hipótese comercial. Sem e-mail público localizado. Nenhuma afirmação sobre clientes ou aplicações específicas da empresa foi feita sem fonte.</x:v>
      </x:c>
      <x:c r="R158" s="43" t="str">
        <x:v>Baixa</x:v>
      </x:c>
      <x:c r="S158" s="43" t="str">
        <x:v>Sim</x:v>
      </x:c>
      <x:c r="T158" s="43" t="str">
        <x:v>Apoio em cilindros e medidas fora de catálogo</x:v>
      </x:c>
      <x:c r="U158" s="43" t="str">
        <x:v>Olá, equipe da RCS Rings Seals,</x:v>
      </x:c>
      <x:c r="V158" s="43" t="str">
        <x:v>Olá, equipe da RCS Rings Seals,
Ao analisar o perfil da RCS Rings Seals em Curitiba, identifiquei uma possibilidade de parceria para demandas de vedação que não se encaixam bem em linhas padronizadas.
Em Curitiba/PR, cadeias como automotivo, máquinas, alimentos, químico e manutenção industrial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PU, NBR,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158" s="43" t="str">
        <x:v>Olá, equipe da RCS Rings Seals,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158" s="43" t="str">
        <x:v>Olá, equipe da RCS Rings Seals,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58" s="43" t="str">
        <x:v>Há cilindros ou equipamentos para os quais vocês têm dificuldade de localizar a vedação correta ou cumprir o prazo do cliente?</x:v>
      </x:c>
      <x:c r="Z158" s="43" t="str">
        <x:v>Este contato foi direcionado a um canal corporativo público por possível aderência entre as atividades das empresas. Para não receber novas mensagens da Parts Seals, responda com REMOVER.</x:v>
      </x:c>
      <x:c r="AA158" s="43" t="str">
        <x:v>Sem e-mail</x:v>
      </x:c>
      <x:c r="AB158" s="43" t="str">
        <x:v>Não</x:v>
      </x:c>
      <x:c r="AC158" s="44"/>
      <x:c r="AD158" s="44"/>
      <x:c r="AE158" s="44"/>
      <x:c r="AF158" s="44"/>
      <x:c r="AG158" s="43"/>
      <x:c r="AH158" s="43"/>
      <x:c r="AI158" s="43" t="str">
        <x:v>Não</x:v>
      </x:c>
      <x:c r="AJ158" s="43"/>
      <x:c r="AK158" s="43"/>
      <x:c r="AL158" s="43" t="str">
        <x:v>https://perfildaindustria.portaldaindustria.com.br/estado/tudo/pr</x:v>
      </x:c>
      <x:c r="AM158" s="43" t="str">
        <x:v>Não localizado em fonte pública confiável até 24/07/2026</x:v>
      </x:c>
      <x:c r="AN158" s="43" t="str">
        <x:v>Pesquise a empresa RCS Rings Seals, de Curitiba/PR,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58" s="43" t="str">
        <x:v>2026-07-24 v1</x:v>
      </x:c>
    </x:row>
    <x:row r="159" ht="72" customHeight="1">
      <x:c r="A159" s="43" t="n">
        <x:v>158</x:v>
      </x:c>
      <x:c r="B159" s="43" t="str">
        <x:v>Sealing Tech Vedações e Componentes Industriais</x:v>
      </x:c>
      <x:c r="C159" s="43" t="str">
        <x:v>Vedações</x:v>
      </x:c>
      <x:c r="D159" s="43" t="str">
        <x:v>Curitiba</x:v>
      </x:c>
      <x:c r="E159" s="43" t="str">
        <x:v>PR</x:v>
      </x:c>
      <x:c r="F159" s="43" t="str">
        <x:v>Sul</x:v>
      </x:c>
      <x:c r="G159" s="43" t="str">
        <x:v>B - Média</x:v>
      </x:c>
      <x:c r="H159" s="43" t="str">
        <x:v>Não contatado</x:v>
      </x:c>
      <x:c r="I159" s="43"/>
      <x:c r="J159" s="43" t="str">
        <x:v>Não localizado em fonte pública confiável até 24/07/2026</x:v>
      </x:c>
      <x:c r="K159" s="43" t="str">
        <x:v>Não</x:v>
      </x:c>
      <x:c r="L159" s="43" t="str">
        <x:v>especialista ou revenda de vedações industriais</x:v>
      </x:c>
      <x:c r="M159" s="43" t="str">
        <x:v>automotivo, máquinas, alimentos, químico e manutenção industrial</x:v>
      </x:c>
      <x:c r="N159" s="43" t="str">
        <x:v>gaxetas, raspadores, anéis guia, vedações de haste e pistão, retentores especiais e reposições fora de linha</x:v>
      </x:c>
      <x:c r="O159" s="43" t="str">
        <x:v>peças sob medida em PTFE puro ou carregado, poliuretano, NBR, FKM, nylon e outros materiais técnicos</x:v>
      </x:c>
      <x:c r="P159" s="43" t="str">
        <x:v>complementar o portfólio com itens especiais, pequenas e médias séries, urgências e fabricação por desenho ou amostra</x:v>
      </x:c>
      <x:c r="Q159" s="43" t="str">
        <x:v>Segmento da base: Vedações; localização: Curitiba/PR; contexto industrial regional usado apenas como hipótese comercial. Sem e-mail público localizado. Nenhuma afirmação sobre clientes ou aplicações específicas da empresa foi feita sem fonte.</x:v>
      </x:c>
      <x:c r="R159" s="43" t="str">
        <x:v>Baixa</x:v>
      </x:c>
      <x:c r="S159" s="43" t="str">
        <x:v>Sim</x:v>
      </x:c>
      <x:c r="T159" s="43" t="str">
        <x:v>Apoio em vedações sob medida para a Sealing Tech Vedações e Componentes Industriais</x:v>
      </x:c>
      <x:c r="U159" s="43" t="str">
        <x:v>Olá, equipe da Sealing Tech Vedações e Componentes Industriais,</x:v>
      </x:c>
      <x:c r="V159" s="43" t="str">
        <x:v>Olá, equipe da Sealing Tech Vedações e Componentes Industriais,
A Parts Seals está ampliando parcerias com empresas técnicas do setor, e o perfil da Sealing Tech Vedações e Componentes Industriais chamou nossa atenção pela atuação em vedações.
Em Curitiba/PR, cadeias como automotivo, máquinas, alimentos, químico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59" s="43" t="str">
        <x:v>Olá, equipe da Sealing Tech Vedações e Componentes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59" s="43" t="str">
        <x:v>Olá, equipe da Sealing Tech Vedações e Componentes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59" s="43" t="str">
        <x:v>Vocês recebem consultas de peças especiais que acabam sem atendimento por prazo, material, quantidade ou ausência de desenho?</x:v>
      </x:c>
      <x:c r="Z159" s="43" t="str">
        <x:v>Este contato foi direcionado a um canal corporativo público por possível aderência entre as atividades das empresas. Para não receber novas mensagens da Parts Seals, responda com REMOVER.</x:v>
      </x:c>
      <x:c r="AA159" s="43" t="str">
        <x:v>Sem e-mail</x:v>
      </x:c>
      <x:c r="AB159" s="43" t="str">
        <x:v>Não</x:v>
      </x:c>
      <x:c r="AC159" s="44"/>
      <x:c r="AD159" s="44"/>
      <x:c r="AE159" s="44"/>
      <x:c r="AF159" s="44"/>
      <x:c r="AG159" s="43"/>
      <x:c r="AH159" s="43"/>
      <x:c r="AI159" s="43" t="str">
        <x:v>Não</x:v>
      </x:c>
      <x:c r="AJ159" s="43"/>
      <x:c r="AK159" s="43"/>
      <x:c r="AL159" s="43" t="str">
        <x:v>https://perfildaindustria.portaldaindustria.com.br/estado/tudo/pr</x:v>
      </x:c>
      <x:c r="AM159" s="43" t="str">
        <x:v>Não localizado em fonte pública confiável até 24/07/2026</x:v>
      </x:c>
      <x:c r="AN159" s="43" t="str">
        <x:v>Pesquise a empresa Sealing Tech Vedações e Componentes Industriais, de Curitiba/PR,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59" s="43" t="str">
        <x:v>2026-07-24 v1</x:v>
      </x:c>
    </x:row>
    <x:row r="160" ht="72" customHeight="1">
      <x:c r="A160" s="43" t="n">
        <x:v>159</x:v>
      </x:c>
      <x:c r="B160" s="43" t="str">
        <x:v>Vedaseal Vedações Industriais</x:v>
      </x:c>
      <x:c r="C160" s="43" t="str">
        <x:v>Fabricante/Vedações</x:v>
      </x:c>
      <x:c r="D160" s="43" t="str">
        <x:v>Curitiba</x:v>
      </x:c>
      <x:c r="E160" s="43" t="str">
        <x:v>PR</x:v>
      </x:c>
      <x:c r="F160" s="43" t="str">
        <x:v>Sul</x:v>
      </x:c>
      <x:c r="G160" s="43" t="str">
        <x:v>C - Baixa</x:v>
      </x:c>
      <x:c r="H160" s="43" t="str">
        <x:v>Não contatado</x:v>
      </x:c>
      <x:c r="I160" s="43"/>
      <x:c r="J160" s="43" t="str">
        <x:v>Não localizado em fonte pública confiável até 24/07/2026</x:v>
      </x:c>
      <x:c r="K160" s="43" t="str">
        <x:v>Não</x:v>
      </x:c>
      <x:c r="L160" s="43" t="str">
        <x:v>fabricante ou transformador especializado em vedações</x:v>
      </x:c>
      <x:c r="M160" s="43" t="str">
        <x:v>automotivo, máquinas, alimentos, químico e manutenção industrial</x:v>
      </x:c>
      <x:c r="N160" s="43" t="str">
        <x:v>itens fora de padrão, picos de demanda, protótipos, reposições urgentes e lotes que exigem processo ou material específico</x:v>
      </x:c>
      <x:c r="O160" s="43" t="str">
        <x:v>componentes usinados e moldados em PTFE puro ou carregado, PU, NBR, FKM e materiais técnicos, conforme desenho ou amostra</x:v>
      </x:c>
      <x:c r="P160" s="43" t="str">
        <x:v>atuar como apoio produtivo complementar, preservando a relação comercial de vocês com o cliente final</x:v>
      </x:c>
      <x:c r="Q160" s="43" t="str">
        <x:v>Segmento da base: Fabricante/Vedações; localização: Curitiba/PR; contexto industrial regional usado apenas como hipótese comercial. Sem e-mail público localizado. Nenhuma afirmação sobre clientes ou aplicações específicas da empresa foi feita sem fonte.</x:v>
      </x:c>
      <x:c r="R160" s="43" t="str">
        <x:v>Baixa</x:v>
      </x:c>
      <x:c r="S160" s="43" t="str">
        <x:v>Sim</x:v>
      </x:c>
      <x:c r="T160" s="43" t="str">
        <x:v>Itens urgentes ou fora de padrão — Vedaseal Vedações Industriais</x:v>
      </x:c>
      <x:c r="U160" s="43" t="str">
        <x:v>Olá, equipe da Vedaseal Vedações Industriais,</x:v>
      </x:c>
      <x:c r="V160" s="43" t="str">
        <x:v>Olá, equipe da Vedaseal Vedações Industriais,
Gostaria de apresentar uma possibilidade de apoio complementar à Vedaseal Vedações Industriais para peças especiais, urgências e reposições fora de catálogo.
Em Curitiba/PR, cadeias como automotivo, máquinas, alimentos, químico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60" s="43" t="str">
        <x:v>Olá, equipe da Vedaseal Vedações Industriais,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60" s="43" t="str">
        <x:v>Olá, equipe da Vedaseal Vedações Industriais,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60" s="43" t="str">
        <x:v>Existe hoje algum item especial, urgente ou de baixa quantidade que esteja ocupando capacidade ou ficando sem atendimento?</x:v>
      </x:c>
      <x:c r="Z160" s="43" t="str">
        <x:v>Este contato foi direcionado a um canal corporativo público por possível aderência entre as atividades das empresas. Para não receber novas mensagens da Parts Seals, responda com REMOVER.</x:v>
      </x:c>
      <x:c r="AA160" s="43" t="str">
        <x:v>Sem e-mail</x:v>
      </x:c>
      <x:c r="AB160" s="43" t="str">
        <x:v>Não</x:v>
      </x:c>
      <x:c r="AC160" s="44"/>
      <x:c r="AD160" s="44"/>
      <x:c r="AE160" s="44"/>
      <x:c r="AF160" s="44"/>
      <x:c r="AG160" s="43"/>
      <x:c r="AH160" s="43"/>
      <x:c r="AI160" s="43" t="str">
        <x:v>Não</x:v>
      </x:c>
      <x:c r="AJ160" s="43"/>
      <x:c r="AK160" s="43"/>
      <x:c r="AL160" s="43" t="str">
        <x:v>https://perfildaindustria.portaldaindustria.com.br/estado/tudo/pr</x:v>
      </x:c>
      <x:c r="AM160" s="43" t="str">
        <x:v>Não localizado em fonte pública confiável até 24/07/2026</x:v>
      </x:c>
      <x:c r="AN160" s="43" t="str">
        <x:v>Pesquise a empresa Vedaseal Vedações Industriais, de Curitiba/PR,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60" s="43" t="str">
        <x:v>2026-07-24 v1</x:v>
      </x:c>
    </x:row>
    <x:row r="161" ht="72" customHeight="1">
      <x:c r="A161" s="43" t="n">
        <x:v>160</x:v>
      </x:c>
      <x:c r="B161" s="43" t="str">
        <x:v>Voga Vedabrás</x:v>
      </x:c>
      <x:c r="C161" s="43" t="str">
        <x:v>Distribuidor Vedabrás</x:v>
      </x:c>
      <x:c r="D161" s="43" t="str">
        <x:v>Curitiba</x:v>
      </x:c>
      <x:c r="E161" s="43" t="str">
        <x:v>PR</x:v>
      </x:c>
      <x:c r="F161" s="43" t="str">
        <x:v>Sul</x:v>
      </x:c>
      <x:c r="G161" s="43" t="str">
        <x:v>A - Alta</x:v>
      </x:c>
      <x:c r="H161" s="43" t="str">
        <x:v>Não contatado</x:v>
      </x:c>
      <x:c r="I161" s="43" t="str">
        <x:v>frederico@vogavedabras.com.br</x:v>
      </x:c>
      <x:c r="J161" s="43" t="str">
        <x:v>https://www.skf.com/binaries/pub330/Images/Distribuidores-Autorizados-IM-SKF-01-22_tcm_330-565060.pdf</x:v>
      </x:c>
      <x:c r="K161" s="43" t="str">
        <x:v>Sim</x:v>
      </x:c>
      <x:c r="L161" s="43" t="str">
        <x:v>distribuidor de vedações de linha</x:v>
      </x:c>
      <x:c r="M161" s="43" t="str">
        <x:v>automotivo, máquinas, alimentos, químico e manutenção industrial</x:v>
      </x:c>
      <x:c r="N161" s="43" t="str">
        <x:v>medidas especiais, itens fora de catálogo e reposições urgentes</x:v>
      </x:c>
      <x:c r="O161" s="43" t="str">
        <x:v>peças em PTFE, PU, NBR e FKM sob medida</x:v>
      </x:c>
      <x:c r="P161" s="43" t="str">
        <x:v>complementar a linha Vedabrás em demandas especiais e pequenas séries</x:v>
      </x:c>
      <x:c r="Q161" s="43" t="str">
        <x:v>Segmento da base: Distribuidor Vedabrás; localização: Curitiba/PR; contexto industrial regional usado apenas como hipótese comercial. Contato publicado em documento de fabricante ou distribuidor. Nenhuma afirmação sobre clientes ou aplicações específicas da empresa foi feita sem fonte.</x:v>
      </x:c>
      <x:c r="R161" s="43" t="str">
        <x:v>Moderada</x:v>
      </x:c>
      <x:c r="S161" s="43" t="str">
        <x:v>Sim</x:v>
      </x:c>
      <x:c r="T161" s="43" t="str">
        <x:v>Peças especiais para complementar o atendimento da Voga Vedabrás</x:v>
      </x:c>
      <x:c r="U161" s="43" t="str">
        <x:v>Olá, equipe da Voga Vedabrás,</x:v>
      </x:c>
      <x:c r="V161" s="43" t="str">
        <x:v>Olá, equipe da Voga Vedabrás,
Estou entrando em contato porque a atuação da Voga Vedabrás em distribuidor vedabrás tem boa aderência ao tipo de fabricação especial que realizamos na Parts Seals.
Em Curitiba/PR, cadeias como automotivo, máquinas, alimentos, químico e manutenção industrial costumam gerar solicitações de vedações especiais, principalmente quando há pressão, desgaste, ataque químico, temperatura ou dificuldade de reposição. Para o perfil de distribuidor de vedações de linha, vemos maior aderência em medidas especiais, itens fora de catálogo e reposições urgentes.
A Parts Seals pode apoiar com peças em PTFE, PU, NBR e FKM sob medida. A seleção final do material é validada conforme a aplicação; para as demandas mais comuns da região, vale avaliar especialmente PU, NBR, PTFE e FKM. Nosso objetivo é complementar a linha Vedabrás em demandas especiais e pequenas séries.
Há medidas ou materiais que seus clientes pedem e que não estão disponíveis na linha regular?
Posso encaminhar uma apresentação curta ou avaliar um item real, sem compromisso?
Atenciosamente,
{{NOME_REMETENTE}}
Parts Seals Vedações Industriais
{{TELEFONE_REMETENTE}} | {{SITE_REMETENTE}}</x:v>
      </x:c>
      <x:c r="W161" s="43" t="str">
        <x:v>Olá, equipe da Voga Vedabrás,
Retomando meu contato: pelo perfil de distribuidor vedabrás de vocês, acredito que podemos apoiar principalmente em medidas especiais, itens fora de catálogo e reposições urgentes.
Se tiverem uma medida, desenho ou foto de um item difícil de localizar, podemos fazer uma análise inicial e indicar o material mais adequado. Há algum caso em aberto que possamos avaliar?
Atenciosamente,
{{NOME_REMETENTE}}
Parts Seals Vedações Industriais</x:v>
      </x:c>
      <x:c r="X161" s="43" t="str">
        <x:v>Olá, equipe da Voga Vedabrás,
Encerrando meu contato para não insistir. Caso surja alguma demanda de medidas especiais, itens fora de catálogo e reposições urgentes,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61" s="43" t="str">
        <x:v>Há medidas ou materiais que seus clientes pedem e que não estão disponíveis na linha regular?</x:v>
      </x:c>
      <x:c r="Z161" s="43" t="str">
        <x:v>Este contato foi direcionado a um canal corporativo público por possível aderência entre as atividades das empresas. Para não receber novas mensagens da Parts Seals, responda com REMOVER.</x:v>
      </x:c>
      <x:c r="AA161" s="43" t="str">
        <x:v>Aguardando aprovação</x:v>
      </x:c>
      <x:c r="AB161" s="43" t="str">
        <x:v>Não</x:v>
      </x:c>
      <x:c r="AC161" s="44"/>
      <x:c r="AD161" s="44"/>
      <x:c r="AE161" s="44"/>
      <x:c r="AF161" s="44"/>
      <x:c r="AG161" s="43"/>
      <x:c r="AH161" s="43"/>
      <x:c r="AI161" s="43" t="str">
        <x:v>Não</x:v>
      </x:c>
      <x:c r="AJ161" s="43"/>
      <x:c r="AK161" s="43"/>
      <x:c r="AL161" s="43" t="str">
        <x:v>https://perfildaindustria.portaldaindustria.com.br/estado/tudo/pr</x:v>
      </x:c>
      <x:c r="AM161" s="43" t="str">
        <x:v>https://www.skf.com/binaries/pub330/Images/Distribuidores-Autorizados-IM-SKF-01-22_tcm_330-565060.pdf</x:v>
      </x:c>
      <x:c r="AN161" s="43" t="str">
        <x:v>Pesquise a empresa Voga Vedabrás, de Curitiba/PR,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61" s="43" t="str">
        <x:v>2026-07-24 v1</x:v>
      </x:c>
    </x:row>
    <x:row r="162" ht="72" customHeight="1">
      <x:c r="A162" s="43" t="n">
        <x:v>161</x:v>
      </x:c>
      <x:c r="B162" s="43" t="str">
        <x:v>Casa das Vedações Londrina</x:v>
      </x:c>
      <x:c r="C162" s="43" t="str">
        <x:v>Fabricante/Vedações</x:v>
      </x:c>
      <x:c r="D162" s="43" t="str">
        <x:v>Londrina</x:v>
      </x:c>
      <x:c r="E162" s="43" t="str">
        <x:v>PR</x:v>
      </x:c>
      <x:c r="F162" s="43" t="str">
        <x:v>Sul</x:v>
      </x:c>
      <x:c r="G162" s="43" t="str">
        <x:v>B - Média</x:v>
      </x:c>
      <x:c r="H162" s="43" t="str">
        <x:v>Não contatado</x:v>
      </x:c>
      <x:c r="I162" s="43"/>
      <x:c r="J162" s="43" t="str">
        <x:v>Não localizado em fonte pública confiável até 24/07/2026</x:v>
      </x:c>
      <x:c r="K162" s="43" t="str">
        <x:v>Não</x:v>
      </x:c>
      <x:c r="L162" s="43" t="str">
        <x:v>fabricante ou transformador especializado em vedações</x:v>
      </x:c>
      <x:c r="M162" s="43" t="str">
        <x:v>agroindústria, alimentos, máquinas e química</x:v>
      </x:c>
      <x:c r="N162" s="43" t="str">
        <x:v>itens fora de padrão, picos de demanda, protótipos, reposições urgentes e lotes que exigem processo ou material específico</x:v>
      </x:c>
      <x:c r="O162" s="43" t="str">
        <x:v>componentes usinados e moldados em PTFE puro ou carregado, PU, NBR, FKM e materiais técnicos, conforme desenho ou amostra</x:v>
      </x:c>
      <x:c r="P162" s="43" t="str">
        <x:v>atuar como apoio produtivo complementar, preservando a relação comercial de vocês com o cliente final</x:v>
      </x:c>
      <x:c r="Q162" s="43" t="str">
        <x:v>Segmento da base: Fabricante/Vedações; localização: Londrina/PR; contexto industrial regional usado apenas como hipótese comercial. Sem e-mail público localizado. Nenhuma afirmação sobre clientes ou aplicações específicas da empresa foi feita sem fonte.</x:v>
      </x:c>
      <x:c r="R162" s="43" t="str">
        <x:v>Baixa</x:v>
      </x:c>
      <x:c r="S162" s="43" t="str">
        <x:v>Sim</x:v>
      </x:c>
      <x:c r="T162" s="43" t="str">
        <x:v>Parceria para picos de demanda e peças especiais</x:v>
      </x:c>
      <x:c r="U162" s="43" t="str">
        <x:v>Olá, equipe da Casa das Vedações Londrina,</x:v>
      </x:c>
      <x:c r="V162" s="43" t="str">
        <x:v>Olá, equipe da Casa das Vedações Londrina,
Ao analisar o perfil da Casa das Vedações Londrina em Londrina, identifiquei uma possibilidade de parceria para demandas de vedação que não se encaixam bem em linhas padronizadas.
Em Londrina/PR, cadeias como agroindústria, alimentos, máquinas e química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NBR, PU,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62" s="43" t="str">
        <x:v>Olá, equipe da Casa das Vedações Londrina,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62" s="43" t="str">
        <x:v>Olá, equipe da Casa das Vedações Londrina,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62" s="43" t="str">
        <x:v>Existe hoje algum item especial, urgente ou de baixa quantidade que esteja ocupando capacidade ou ficando sem atendimento?</x:v>
      </x:c>
      <x:c r="Z162" s="43" t="str">
        <x:v>Este contato foi direcionado a um canal corporativo público por possível aderência entre as atividades das empresas. Para não receber novas mensagens da Parts Seals, responda com REMOVER.</x:v>
      </x:c>
      <x:c r="AA162" s="43" t="str">
        <x:v>Sem e-mail</x:v>
      </x:c>
      <x:c r="AB162" s="43" t="str">
        <x:v>Não</x:v>
      </x:c>
      <x:c r="AC162" s="44"/>
      <x:c r="AD162" s="44"/>
      <x:c r="AE162" s="44"/>
      <x:c r="AF162" s="44"/>
      <x:c r="AG162" s="43"/>
      <x:c r="AH162" s="43"/>
      <x:c r="AI162" s="43" t="str">
        <x:v>Não</x:v>
      </x:c>
      <x:c r="AJ162" s="43"/>
      <x:c r="AK162" s="43"/>
      <x:c r="AL162" s="43" t="str">
        <x:v>https://perfildaindustria.portaldaindustria.com.br/estado/tudo/pr</x:v>
      </x:c>
      <x:c r="AM162" s="43" t="str">
        <x:v>Não localizado em fonte pública confiável até 24/07/2026</x:v>
      </x:c>
      <x:c r="AN162" s="43" t="str">
        <x:v>Pesquise a empresa Casa das Vedações Londrina, de Londrina/PR,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62" s="43" t="str">
        <x:v>2026-07-24 v1</x:v>
      </x:c>
    </x:row>
    <x:row r="163" ht="72" customHeight="1">
      <x:c r="A163" s="43" t="n">
        <x:v>162</x:v>
      </x:c>
      <x:c r="B163" s="43" t="str">
        <x:v>Maved Vedações e Equipamentos Industriais</x:v>
      </x:c>
      <x:c r="C163" s="43" t="str">
        <x:v>Vedações</x:v>
      </x:c>
      <x:c r="D163" s="43" t="str">
        <x:v>Londrina</x:v>
      </x:c>
      <x:c r="E163" s="43" t="str">
        <x:v>PR</x:v>
      </x:c>
      <x:c r="F163" s="43" t="str">
        <x:v>Sul</x:v>
      </x:c>
      <x:c r="G163" s="43" t="str">
        <x:v>B - Média</x:v>
      </x:c>
      <x:c r="H163" s="43" t="str">
        <x:v>Não contatado</x:v>
      </x:c>
      <x:c r="I163" s="43"/>
      <x:c r="J163" s="43" t="str">
        <x:v>Não localizado em fonte pública confiável até 24/07/2026</x:v>
      </x:c>
      <x:c r="K163" s="43" t="str">
        <x:v>Não</x:v>
      </x:c>
      <x:c r="L163" s="43" t="str">
        <x:v>especialista ou revenda de vedações industriais</x:v>
      </x:c>
      <x:c r="M163" s="43" t="str">
        <x:v>agroindústria, alimentos, máquinas e química</x:v>
      </x:c>
      <x:c r="N163" s="43" t="str">
        <x:v>gaxetas, raspadores, anéis guia, vedações de haste e pistão, retentores especiais e reposições fora de linha</x:v>
      </x:c>
      <x:c r="O163" s="43" t="str">
        <x:v>peças sob medida em PTFE puro ou carregado, poliuretano, NBR, FKM, nylon e outros materiais técnicos</x:v>
      </x:c>
      <x:c r="P163" s="43" t="str">
        <x:v>complementar o portfólio com itens especiais, pequenas e médias séries, urgências e fabricação por desenho ou amostra</x:v>
      </x:c>
      <x:c r="Q163" s="43" t="str">
        <x:v>Segmento da base: Vedações; localização: Londrina/PR; contexto industrial regional usado apenas como hipótese comercial. Sem e-mail público localizado. Nenhuma afirmação sobre clientes ou aplicações específicas da empresa foi feita sem fonte.</x:v>
      </x:c>
      <x:c r="R163" s="43" t="str">
        <x:v>Baixa</x:v>
      </x:c>
      <x:c r="S163" s="43" t="str">
        <x:v>Sim</x:v>
      </x:c>
      <x:c r="T163" s="43" t="str">
        <x:v>Apoio em vedações sob medida para a Maved Vedações e Equipamentos Industriais</x:v>
      </x:c>
      <x:c r="U163" s="43" t="str">
        <x:v>Olá, equipe da Maved Vedações e Equipamentos Industriais,</x:v>
      </x:c>
      <x:c r="V163" s="43" t="str">
        <x:v>Olá, equipe da Maved Vedações e Equipamentos Industriais,
A Parts Seals está ampliando parcerias com empresas técnicas do setor, e o perfil da Maved Vedações e Equipamentos Industriais chamou nossa atenção pela atuação em vedações.
Em Londrina/PR, cadeias como agroindústria, alimentos, máquinas e química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63" s="43" t="str">
        <x:v>Olá, equipe da Maved Vedações e Equipamentos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63" s="43" t="str">
        <x:v>Olá, equipe da Maved Vedações e Equipamentos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63" s="43" t="str">
        <x:v>Vocês recebem consultas de peças especiais que acabam sem atendimento por prazo, material, quantidade ou ausência de desenho?</x:v>
      </x:c>
      <x:c r="Z163" s="43" t="str">
        <x:v>Este contato foi direcionado a um canal corporativo público por possível aderência entre as atividades das empresas. Para não receber novas mensagens da Parts Seals, responda com REMOVER.</x:v>
      </x:c>
      <x:c r="AA163" s="43" t="str">
        <x:v>Sem e-mail</x:v>
      </x:c>
      <x:c r="AB163" s="43" t="str">
        <x:v>Não</x:v>
      </x:c>
      <x:c r="AC163" s="44"/>
      <x:c r="AD163" s="44"/>
      <x:c r="AE163" s="44"/>
      <x:c r="AF163" s="44"/>
      <x:c r="AG163" s="43"/>
      <x:c r="AH163" s="43"/>
      <x:c r="AI163" s="43" t="str">
        <x:v>Não</x:v>
      </x:c>
      <x:c r="AJ163" s="43"/>
      <x:c r="AK163" s="43"/>
      <x:c r="AL163" s="43" t="str">
        <x:v>https://perfildaindustria.portaldaindustria.com.br/estado/tudo/pr</x:v>
      </x:c>
      <x:c r="AM163" s="43" t="str">
        <x:v>Não localizado em fonte pública confiável até 24/07/2026</x:v>
      </x:c>
      <x:c r="AN163" s="43" t="str">
        <x:v>Pesquise a empresa Maved Vedações e Equipamentos Industriais, de Londrina/PR,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63" s="43" t="str">
        <x:v>2026-07-24 v1</x:v>
      </x:c>
    </x:row>
    <x:row r="164" ht="72" customHeight="1">
      <x:c r="A164" s="43" t="n">
        <x:v>163</x:v>
      </x:c>
      <x:c r="B164" s="43" t="str">
        <x:v>Emteco Rolamentos</x:v>
      </x:c>
      <x:c r="C164" s="43" t="str">
        <x:v>Rolamentos/Vedações</x:v>
      </x:c>
      <x:c r="D164" s="43" t="str">
        <x:v>Maringá</x:v>
      </x:c>
      <x:c r="E164" s="43" t="str">
        <x:v>PR</x:v>
      </x:c>
      <x:c r="F164" s="43" t="str">
        <x:v>Sul</x:v>
      </x:c>
      <x:c r="G164" s="43" t="str">
        <x:v>A - Alta</x:v>
      </x:c>
      <x:c r="H164" s="43" t="str">
        <x:v>Não contatado</x:v>
      </x:c>
      <x:c r="I164" s="43"/>
      <x:c r="J164" s="43" t="str">
        <x:v>Não localizado em fonte pública confiável até 24/07/2026</x:v>
      </x:c>
      <x:c r="K164" s="43" t="str">
        <x:v>Não</x:v>
      </x:c>
      <x:c r="L164" s="43" t="str">
        <x:v>distribuidor de rolamentos, retentores e vedações</x:v>
      </x:c>
      <x:c r="M164" s="43" t="str">
        <x:v>agroindústria, alimentos, máquinas e manutenção industrial</x:v>
      </x:c>
      <x:c r="N164" s="43" t="str">
        <x:v>retentores especiais, anéis, vedações rotativas, kits e componentes para manutenção de máquinas</x:v>
      </x:c>
      <x:c r="O164" s="43" t="str">
        <x:v>peças especiais em NBR, FKM, PU e PTFE, inclusive medidas fora de catálogo</x:v>
      </x:c>
      <x:c r="P164" s="43" t="str">
        <x:v>complementar a linha padronizada com reposições especiais e itens descontinuados</x:v>
      </x:c>
      <x:c r="Q164" s="43" t="str">
        <x:v>Segmento da base: Rolamentos/Vedações; localização: Maringá/PR; contexto industrial regional usado apenas como hipótese comercial. Sem e-mail público localizado. Nenhuma afirmação sobre clientes ou aplicações específicas da empresa foi feita sem fonte.</x:v>
      </x:c>
      <x:c r="R164" s="43" t="str">
        <x:v>Baixa</x:v>
      </x:c>
      <x:c r="S164" s="43" t="str">
        <x:v>Sim</x:v>
      </x:c>
      <x:c r="T164" s="43" t="str">
        <x:v>Reposições especiais e itens descontinuados</x:v>
      </x:c>
      <x:c r="U164" s="43" t="str">
        <x:v>Olá, equipe da Emteco Rolamentos,</x:v>
      </x:c>
      <x:c r="V164" s="43" t="str">
        <x:v>Olá, equipe da Emteco Rolamentos,
Gostaria de apresentar uma possibilidade de apoio complementar à Emteco Rolamentos para peças especiais, urgências e reposições fora de catálogo.
Em Maringá/PR, cadeias como agroindústria, alimentos, máquinas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NBR, PU,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164" s="43" t="str">
        <x:v>Olá, equipe da Emteco Rolamentos,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164" s="43" t="str">
        <x:v>Olá, equipe da Emteco Rolamentos,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64" s="43" t="str">
        <x:v>Vocês têm pedidos de retentores ou vedações em medidas especiais que não encontram nos catálogos tradicionais?</x:v>
      </x:c>
      <x:c r="Z164" s="43" t="str">
        <x:v>Este contato foi direcionado a um canal corporativo público por possível aderência entre as atividades das empresas. Para não receber novas mensagens da Parts Seals, responda com REMOVER.</x:v>
      </x:c>
      <x:c r="AA164" s="43" t="str">
        <x:v>Sem e-mail</x:v>
      </x:c>
      <x:c r="AB164" s="43" t="str">
        <x:v>Não</x:v>
      </x:c>
      <x:c r="AC164" s="44"/>
      <x:c r="AD164" s="44"/>
      <x:c r="AE164" s="44"/>
      <x:c r="AF164" s="44"/>
      <x:c r="AG164" s="43"/>
      <x:c r="AH164" s="43"/>
      <x:c r="AI164" s="43" t="str">
        <x:v>Não</x:v>
      </x:c>
      <x:c r="AJ164" s="43"/>
      <x:c r="AK164" s="43"/>
      <x:c r="AL164" s="43" t="str">
        <x:v>https://perfildaindustria.portaldaindustria.com.br/estado/tudo/pr</x:v>
      </x:c>
      <x:c r="AM164" s="43" t="str">
        <x:v>Não localizado em fonte pública confiável até 24/07/2026</x:v>
      </x:c>
      <x:c r="AN164" s="43" t="str">
        <x:v>Pesquise a empresa Emteco Rolamentos, de Maringá/PR,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64" s="43" t="str">
        <x:v>2026-07-24 v1</x:v>
      </x:c>
    </x:row>
    <x:row r="165" ht="72" customHeight="1">
      <x:c r="A165" s="43" t="n">
        <x:v>164</x:v>
      </x:c>
      <x:c r="B165" s="43" t="str">
        <x:v>Usina Vedações Maringá</x:v>
      </x:c>
      <x:c r="C165" s="43" t="str">
        <x:v>Fabricante/Vedações</x:v>
      </x:c>
      <x:c r="D165" s="43" t="str">
        <x:v>Maringá</x:v>
      </x:c>
      <x:c r="E165" s="43" t="str">
        <x:v>PR</x:v>
      </x:c>
      <x:c r="F165" s="43" t="str">
        <x:v>Sul</x:v>
      </x:c>
      <x:c r="G165" s="43" t="str">
        <x:v>B - Média</x:v>
      </x:c>
      <x:c r="H165" s="43" t="str">
        <x:v>Não contatado</x:v>
      </x:c>
      <x:c r="I165" s="43"/>
      <x:c r="J165" s="43" t="str">
        <x:v>Não localizado em fonte pública confiável até 24/07/2026</x:v>
      </x:c>
      <x:c r="K165" s="43" t="str">
        <x:v>Não</x:v>
      </x:c>
      <x:c r="L165" s="43" t="str">
        <x:v>fabricante ou transformador especializado em vedações</x:v>
      </x:c>
      <x:c r="M165" s="43" t="str">
        <x:v>agroindústria, alimentos, máquinas e manutenção industrial</x:v>
      </x:c>
      <x:c r="N165" s="43" t="str">
        <x:v>itens fora de padrão, picos de demanda, protótipos, reposições urgentes e lotes que exigem processo ou material específico</x:v>
      </x:c>
      <x:c r="O165" s="43" t="str">
        <x:v>componentes usinados e moldados em PTFE puro ou carregado, PU, NBR, FKM e materiais técnicos, conforme desenho ou amostra</x:v>
      </x:c>
      <x:c r="P165" s="43" t="str">
        <x:v>atuar como apoio produtivo complementar, preservando a relação comercial de vocês com o cliente final</x:v>
      </x:c>
      <x:c r="Q165" s="43" t="str">
        <x:v>Segmento da base: Fabricante/Vedações; localização: Maringá/PR; contexto industrial regional usado apenas como hipótese comercial. Sem e-mail público localizado. Nenhuma afirmação sobre clientes ou aplicações específicas da empresa foi feita sem fonte.</x:v>
      </x:c>
      <x:c r="R165" s="43" t="str">
        <x:v>Baixa</x:v>
      </x:c>
      <x:c r="S165" s="43" t="str">
        <x:v>Sim</x:v>
      </x:c>
      <x:c r="T165" s="43" t="str">
        <x:v>Apoio produtivo para itens especiais — Usina Vedações Maringá</x:v>
      </x:c>
      <x:c r="U165" s="43" t="str">
        <x:v>Olá, equipe da Usina Vedações Maringá,</x:v>
      </x:c>
      <x:c r="V165" s="43" t="str">
        <x:v>Olá, equipe da Usina Vedações Maringá,
Estou entrando em contato porque a atuação da Usina Vedações Maringá em fabricante/vedações tem boa aderência ao tipo de fabricação especial que realizamos na Parts Seals.
Em Maringá/PR, cadeias como agroindústria, alimentos, máquinas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NBR, PU,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65" s="43" t="str">
        <x:v>Olá, equipe da Usina Vedações Maringá,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65" s="43" t="str">
        <x:v>Olá, equipe da Usina Vedações Maringá,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65" s="43" t="str">
        <x:v>Existe hoje algum item especial, urgente ou de baixa quantidade que esteja ocupando capacidade ou ficando sem atendimento?</x:v>
      </x:c>
      <x:c r="Z165" s="43" t="str">
        <x:v>Este contato foi direcionado a um canal corporativo público por possível aderência entre as atividades das empresas. Para não receber novas mensagens da Parts Seals, responda com REMOVER.</x:v>
      </x:c>
      <x:c r="AA165" s="43" t="str">
        <x:v>Sem e-mail</x:v>
      </x:c>
      <x:c r="AB165" s="43" t="str">
        <x:v>Não</x:v>
      </x:c>
      <x:c r="AC165" s="44"/>
      <x:c r="AD165" s="44"/>
      <x:c r="AE165" s="44"/>
      <x:c r="AF165" s="44"/>
      <x:c r="AG165" s="43"/>
      <x:c r="AH165" s="43"/>
      <x:c r="AI165" s="43" t="str">
        <x:v>Não</x:v>
      </x:c>
      <x:c r="AJ165" s="43"/>
      <x:c r="AK165" s="43"/>
      <x:c r="AL165" s="43" t="str">
        <x:v>https://perfildaindustria.portaldaindustria.com.br/estado/tudo/pr</x:v>
      </x:c>
      <x:c r="AM165" s="43" t="str">
        <x:v>Não localizado em fonte pública confiável até 24/07/2026</x:v>
      </x:c>
      <x:c r="AN165" s="43" t="str">
        <x:v>Pesquise a empresa Usina Vedações Maringá, de Maringá/PR,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65" s="43" t="str">
        <x:v>2026-07-24 v1</x:v>
      </x:c>
    </x:row>
    <x:row r="166" ht="72" customHeight="1">
      <x:c r="A166" s="43" t="n">
        <x:v>165</x:v>
      </x:c>
      <x:c r="B166" s="43" t="str">
        <x:v>Vedacubo Ind. Com. Retentores</x:v>
      </x:c>
      <x:c r="C166" s="43" t="str">
        <x:v>Fabricante/Vedações</x:v>
      </x:c>
      <x:c r="D166" s="43" t="str">
        <x:v>Maringá</x:v>
      </x:c>
      <x:c r="E166" s="43" t="str">
        <x:v>PR</x:v>
      </x:c>
      <x:c r="F166" s="43" t="str">
        <x:v>Sul</x:v>
      </x:c>
      <x:c r="G166" s="43" t="str">
        <x:v>B - Média</x:v>
      </x:c>
      <x:c r="H166" s="43" t="str">
        <x:v>Não contatado</x:v>
      </x:c>
      <x:c r="I166" s="43"/>
      <x:c r="J166" s="43" t="str">
        <x:v>Não localizado em fonte pública confiável até 24/07/2026</x:v>
      </x:c>
      <x:c r="K166" s="43" t="str">
        <x:v>Não</x:v>
      </x:c>
      <x:c r="L166" s="43" t="str">
        <x:v>fabricante ou transformador especializado em vedações</x:v>
      </x:c>
      <x:c r="M166" s="43" t="str">
        <x:v>agroindústria, alimentos, máquinas e manutenção industrial</x:v>
      </x:c>
      <x:c r="N166" s="43" t="str">
        <x:v>itens fora de padrão, picos de demanda, protótipos, reposições urgentes e lotes que exigem processo ou material específico</x:v>
      </x:c>
      <x:c r="O166" s="43" t="str">
        <x:v>componentes usinados e moldados em PTFE puro ou carregado, PU, NBR, FKM e materiais técnicos, conforme desenho ou amostra</x:v>
      </x:c>
      <x:c r="P166" s="43" t="str">
        <x:v>atuar como apoio produtivo complementar, preservando a relação comercial de vocês com o cliente final</x:v>
      </x:c>
      <x:c r="Q166" s="43" t="str">
        <x:v>Segmento da base: Fabricante/Vedações; localização: Maringá/PR; contexto industrial regional usado apenas como hipótese comercial. Sem e-mail público localizado. Nenhuma afirmação sobre clientes ou aplicações específicas da empresa foi feita sem fonte.</x:v>
      </x:c>
      <x:c r="R166" s="43" t="str">
        <x:v>Baixa</x:v>
      </x:c>
      <x:c r="S166" s="43" t="str">
        <x:v>Sim</x:v>
      </x:c>
      <x:c r="T166" s="43" t="str">
        <x:v>Parceria para picos de demanda e peças especiais</x:v>
      </x:c>
      <x:c r="U166" s="43" t="str">
        <x:v>Olá, equipe da Vedacubo Ind. Com. Retentores,</x:v>
      </x:c>
      <x:c r="V166" s="43" t="str">
        <x:v>Olá, equipe da Vedacubo Ind. Com. Retentores,
Ao analisar o perfil da Vedacubo Ind. Com. Retentores em Maringá, identifiquei uma possibilidade de parceria para demandas de vedação que não se encaixam bem em linhas padronizadas.
Em Maringá/PR, cadeias como agroindústria, alimentos, máquinas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NBR, PU,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66" s="43" t="str">
        <x:v>Olá, equipe da Vedacubo Ind. Com. Retentores,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66" s="43" t="str">
        <x:v>Olá, equipe da Vedacubo Ind. Com. Retentores,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66" s="43" t="str">
        <x:v>Existe hoje algum item especial, urgente ou de baixa quantidade que esteja ocupando capacidade ou ficando sem atendimento?</x:v>
      </x:c>
      <x:c r="Z166" s="43" t="str">
        <x:v>Este contato foi direcionado a um canal corporativo público por possível aderência entre as atividades das empresas. Para não receber novas mensagens da Parts Seals, responda com REMOVER.</x:v>
      </x:c>
      <x:c r="AA166" s="43" t="str">
        <x:v>Sem e-mail</x:v>
      </x:c>
      <x:c r="AB166" s="43" t="str">
        <x:v>Não</x:v>
      </x:c>
      <x:c r="AC166" s="44"/>
      <x:c r="AD166" s="44"/>
      <x:c r="AE166" s="44"/>
      <x:c r="AF166" s="44"/>
      <x:c r="AG166" s="43"/>
      <x:c r="AH166" s="43"/>
      <x:c r="AI166" s="43" t="str">
        <x:v>Não</x:v>
      </x:c>
      <x:c r="AJ166" s="43"/>
      <x:c r="AK166" s="43"/>
      <x:c r="AL166" s="43" t="str">
        <x:v>https://perfildaindustria.portaldaindustria.com.br/estado/tudo/pr</x:v>
      </x:c>
      <x:c r="AM166" s="43" t="str">
        <x:v>Não localizado em fonte pública confiável até 24/07/2026</x:v>
      </x:c>
      <x:c r="AN166" s="43" t="str">
        <x:v>Pesquise a empresa Vedacubo Ind. Com. Retentores, de Maringá/PR,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66" s="43" t="str">
        <x:v>2026-07-24 v1</x:v>
      </x:c>
    </x:row>
    <x:row r="167" ht="72" customHeight="1">
      <x:c r="A167" s="43" t="n">
        <x:v>166</x:v>
      </x:c>
      <x:c r="B167" s="43" t="str">
        <x:v>Rio Preto Distribuidora de Vedações</x:v>
      </x:c>
      <x:c r="C167" s="43" t="str">
        <x:v>Distribuidora</x:v>
      </x:c>
      <x:c r="D167" s="43" t="str">
        <x:v>Ponta Grossa</x:v>
      </x:c>
      <x:c r="E167" s="43" t="str">
        <x:v>PR</x:v>
      </x:c>
      <x:c r="F167" s="43" t="str">
        <x:v>Sul</x:v>
      </x:c>
      <x:c r="G167" s="43" t="str">
        <x:v>C - Baixa</x:v>
      </x:c>
      <x:c r="H167" s="43" t="str">
        <x:v>Não contatado</x:v>
      </x:c>
      <x:c r="I167" s="43"/>
      <x:c r="J167" s="43" t="str">
        <x:v>Não localizado em fonte pública confiável até 24/07/2026</x:v>
      </x:c>
      <x:c r="K167" s="43" t="str">
        <x:v>Não</x:v>
      </x:c>
      <x:c r="L167" s="43" t="str">
        <x:v>distribuidor de componentes industriais</x:v>
      </x:c>
      <x:c r="M167" s="43" t="str">
        <x:v>agroindústria, alimentos, papel e celulose e máquinas</x:v>
      </x:c>
      <x:c r="N167" s="43" t="str">
        <x:v>reposições industriais, itens fora de linha, medidas especiais e demandas de manutenção</x:v>
      </x:c>
      <x:c r="O167" s="43" t="str">
        <x:v>vedações e componentes sob medida em PTFE, PU, NBR, FKM e materiais técnicos</x:v>
      </x:c>
      <x:c r="P167" s="43" t="str">
        <x:v>complementar o portfólio sem necessidade de estoque amplo, produzindo por desenho ou amostra</x:v>
      </x:c>
      <x:c r="Q167" s="43" t="str">
        <x:v>Segmento da base: Distribuidora; localização: Ponta Grossa/PR; contexto industrial regional usado apenas como hipótese comercial. Sem e-mail público localizado. Nenhuma afirmação sobre clientes ou aplicações específicas da empresa foi feita sem fonte.</x:v>
      </x:c>
      <x:c r="R167" s="43" t="str">
        <x:v>Baixa</x:v>
      </x:c>
      <x:c r="S167" s="43" t="str">
        <x:v>Sim</x:v>
      </x:c>
      <x:c r="T167" s="43" t="str">
        <x:v>Apoio em vedações sob medida para a Rio Preto Distribuidora de Vedações</x:v>
      </x:c>
      <x:c r="U167" s="43" t="str">
        <x:v>Olá, equipe da Rio Preto Distribuidora de Vedações,</x:v>
      </x:c>
      <x:c r="V167" s="43" t="str">
        <x:v>Olá, equipe da Rio Preto Distribuidora de Vedações,
A Parts Seals está ampliando parcerias com empresas técnicas do setor, e o perfil da Rio Preto Distribuidora de Vedações chamou nossa atenção pela atuação em distribuidora.
Em Ponta Grossa/PR, cadeias como agroindústria, alimentos, papel e celulose e máquinas costumam gerar solicitações de vedações especiais, principalmente quando há pressão, desgaste, ataque químico, temperatura ou dificuldade de reposição. Para o perfil de distribuidor de componentes industriais, vemos maior aderência em reposições industriais, itens fora de linha, medidas especiais e demandas de manutenção.
A Parts Seals pode apoiar com vedações e componentes sob medida em PTFE, PU, NBR, FKM e materiais técnicos. A seleção final do material é validada conforme a aplicação; para as demandas mais comuns da região, vale avaliar especialmente NBR, PU, PTFE e FKM. Nosso objetivo é complementar o portfólio sem necessidade de estoque amplo, produzindo por desenho ou amostra.
Há famílias de vedações que seus clientes solicitam, mas que hoje ficam fora do portfólio por baixa recorrência?
Posso encaminhar uma apresentação curta ou avaliar um item real, sem compromisso?
Atenciosamente,
{{NOME_REMETENTE}}
Parts Seals Vedações Industriais
{{TELEFONE_REMETENTE}} | {{SITE_REMETENTE}}</x:v>
      </x:c>
      <x:c r="W167" s="43" t="str">
        <x:v>Olá, equipe da Rio Preto Distribuidora de Vedações,
Retomando meu contato: pelo perfil de distribuidora de vocês, acredito que podemos apoiar principalmente em reposições industriais, itens fora de linha, medidas especiais e demandas de manutenção.
Se tiverem uma medida, desenho ou foto de um item difícil de localizar, podemos fazer uma análise inicial e indicar o material mais adequado. Há algum caso em aberto que possamos avaliar?
Atenciosamente,
{{NOME_REMETENTE}}
Parts Seals Vedações Industriais</x:v>
      </x:c>
      <x:c r="X167" s="43" t="str">
        <x:v>Olá, equipe da Rio Preto Distribuidora de Vedações,
Encerrando meu contato para não insistir. Caso surja alguma demanda de reposições industriais, itens fora de linha, medidas especiais e demandas de manutenção,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67" s="43" t="str">
        <x:v>Há famílias de vedações que seus clientes solicitam, mas que hoje ficam fora do portfólio por baixa recorrência?</x:v>
      </x:c>
      <x:c r="Z167" s="43" t="str">
        <x:v>Este contato foi direcionado a um canal corporativo público por possível aderência entre as atividades das empresas. Para não receber novas mensagens da Parts Seals, responda com REMOVER.</x:v>
      </x:c>
      <x:c r="AA167" s="43" t="str">
        <x:v>Sem e-mail</x:v>
      </x:c>
      <x:c r="AB167" s="43" t="str">
        <x:v>Não</x:v>
      </x:c>
      <x:c r="AC167" s="44"/>
      <x:c r="AD167" s="44"/>
      <x:c r="AE167" s="44"/>
      <x:c r="AF167" s="44"/>
      <x:c r="AG167" s="43"/>
      <x:c r="AH167" s="43"/>
      <x:c r="AI167" s="43" t="str">
        <x:v>Não</x:v>
      </x:c>
      <x:c r="AJ167" s="43"/>
      <x:c r="AK167" s="43"/>
      <x:c r="AL167" s="43" t="str">
        <x:v>https://perfildaindustria.portaldaindustria.com.br/estado/tudo/pr</x:v>
      </x:c>
      <x:c r="AM167" s="43" t="str">
        <x:v>Não localizado em fonte pública confiável até 24/07/2026</x:v>
      </x:c>
      <x:c r="AN167" s="43" t="str">
        <x:v>Pesquise a empresa Rio Preto Distribuidora de Vedações, de Ponta Grossa/PR,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67" s="43" t="str">
        <x:v>2026-07-24 v1</x:v>
      </x:c>
    </x:row>
    <x:row r="168" ht="72" customHeight="1">
      <x:c r="A168" s="43" t="n">
        <x:v>167</x:v>
      </x:c>
      <x:c r="B168" s="43" t="str">
        <x:v>Veda Peças Comércio e Serviços</x:v>
      </x:c>
      <x:c r="C168" s="43" t="str">
        <x:v>Hidráulica/Vedações</x:v>
      </x:c>
      <x:c r="D168" s="43" t="str">
        <x:v>Ponta Grossa</x:v>
      </x:c>
      <x:c r="E168" s="43" t="str">
        <x:v>PR</x:v>
      </x:c>
      <x:c r="F168" s="43" t="str">
        <x:v>Sul</x:v>
      </x:c>
      <x:c r="G168" s="43" t="str">
        <x:v>A - Alta</x:v>
      </x:c>
      <x:c r="H168" s="43" t="str">
        <x:v>Não contatado</x:v>
      </x:c>
      <x:c r="I168" s="43"/>
      <x:c r="J168" s="43" t="str">
        <x:v>Não localizado em fonte pública confiável até 24/07/2026</x:v>
      </x:c>
      <x:c r="K168" s="43" t="str">
        <x:v>Não</x:v>
      </x:c>
      <x:c r="L168" s="43" t="str">
        <x:v>fornecedor de componentes hidráulicos e vedações</x:v>
      </x:c>
      <x:c r="M168" s="43" t="str">
        <x:v>agroindústria, alimentos, papel e celulose e máquinas</x:v>
      </x:c>
      <x:c r="N168" s="43" t="str">
        <x:v>gaxetas de haste e pistão, raspadores, anéis guia, vedações rotativas e kits para cilindros hidráulicos</x:v>
      </x:c>
      <x:c r="O168" s="43" t="str">
        <x:v>vedações em PU, PTFE puro ou carregado, NBR e FKM, dimensionadas conforme pressão, velocidade, fluido e temperatura</x:v>
      </x:c>
      <x:c r="P168" s="43" t="str">
        <x:v>apoiar reformas e montagens com peças não padronizadas, reposições antigas e fabricação rápida por amostra ou desenho</x:v>
      </x:c>
      <x:c r="Q168" s="43" t="str">
        <x:v>Segmento da base: Hidráulica/Vedações; localização: Ponta Grossa/PR; contexto industrial regional usado apenas como hipótese comercial. Sem e-mail público localizado. Nenhuma afirmação sobre clientes ou aplicações específicas da empresa foi feita sem fonte.</x:v>
      </x:c>
      <x:c r="R168" s="43" t="str">
        <x:v>Baixa</x:v>
      </x:c>
      <x:c r="S168" s="43" t="str">
        <x:v>Sim</x:v>
      </x:c>
      <x:c r="T168" s="43" t="str">
        <x:v>Possível parceria técnica com a Veda Peças Comércio e Serviços</x:v>
      </x:c>
      <x:c r="U168" s="43" t="str">
        <x:v>Olá, equipe da Veda Peças Comércio e Serviços,</x:v>
      </x:c>
      <x:c r="V168" s="43" t="str">
        <x:v>Olá, equipe da Veda Peças Comércio e Serviços,
Gostaria de apresentar uma possibilidade de apoio complementar à Veda Peças Comércio e Serviços para peças especiais, urgências e reposições fora de catálogo.
Em Ponta Grossa/PR, cadeias como agroindústria, alimentos, papel e celulose e máquinas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NBR, PU,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168" s="43" t="str">
        <x:v>Olá, equipe da Veda Peças Comércio e Serviços,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168" s="43" t="str">
        <x:v>Olá, equipe da Veda Peças Comércio e Serviços,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68" s="43" t="str">
        <x:v>Há cilindros ou equipamentos para os quais vocês têm dificuldade de localizar a vedação correta ou cumprir o prazo do cliente?</x:v>
      </x:c>
      <x:c r="Z168" s="43" t="str">
        <x:v>Este contato foi direcionado a um canal corporativo público por possível aderência entre as atividades das empresas. Para não receber novas mensagens da Parts Seals, responda com REMOVER.</x:v>
      </x:c>
      <x:c r="AA168" s="43" t="str">
        <x:v>Sem e-mail</x:v>
      </x:c>
      <x:c r="AB168" s="43" t="str">
        <x:v>Não</x:v>
      </x:c>
      <x:c r="AC168" s="44"/>
      <x:c r="AD168" s="44"/>
      <x:c r="AE168" s="44"/>
      <x:c r="AF168" s="44"/>
      <x:c r="AG168" s="43"/>
      <x:c r="AH168" s="43"/>
      <x:c r="AI168" s="43" t="str">
        <x:v>Não</x:v>
      </x:c>
      <x:c r="AJ168" s="43"/>
      <x:c r="AK168" s="43"/>
      <x:c r="AL168" s="43" t="str">
        <x:v>https://perfildaindustria.portaldaindustria.com.br/estado/tudo/pr</x:v>
      </x:c>
      <x:c r="AM168" s="43" t="str">
        <x:v>Não localizado em fonte pública confiável até 24/07/2026</x:v>
      </x:c>
      <x:c r="AN168" s="43" t="str">
        <x:v>Pesquise a empresa Veda Peças Comércio e Serviços, de Ponta Grossa/PR,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68" s="43" t="str">
        <x:v>2026-07-24 v1</x:v>
      </x:c>
    </x:row>
    <x:row r="169" ht="72" customHeight="1">
      <x:c r="A169" s="43" t="n">
        <x:v>168</x:v>
      </x:c>
      <x:c r="B169" s="43" t="str">
        <x:v>Vedações e Juntas Vila Velha</x:v>
      </x:c>
      <x:c r="C169" s="43" t="str">
        <x:v>Juntas/Vedações</x:v>
      </x:c>
      <x:c r="D169" s="43" t="str">
        <x:v>Ponta Grossa</x:v>
      </x:c>
      <x:c r="E169" s="43" t="str">
        <x:v>PR</x:v>
      </x:c>
      <x:c r="F169" s="43" t="str">
        <x:v>Sul</x:v>
      </x:c>
      <x:c r="G169" s="43" t="str">
        <x:v>A - Alta</x:v>
      </x:c>
      <x:c r="H169" s="43" t="str">
        <x:v>Não contatado</x:v>
      </x:c>
      <x:c r="I169" s="43"/>
      <x:c r="J169" s="43" t="str">
        <x:v>Não localizado em fonte pública confiável até 24/07/2026</x:v>
      </x:c>
      <x:c r="K169" s="43" t="str">
        <x:v>Não</x:v>
      </x:c>
      <x:c r="L169" s="43" t="str">
        <x:v>fornecedor de juntas e vedações técnicas</x:v>
      </x:c>
      <x:c r="M169" s="43" t="str">
        <x:v>agroindústria, alimentos, papel e celulose e máquinas</x:v>
      </x:c>
      <x:c r="N169" s="43" t="str">
        <x:v>juntas planas, anéis, sedes, guias e componentes sujeitos a fluidos, temperatura e ataque químico</x:v>
      </x:c>
      <x:c r="O169" s="43" t="str">
        <x:v>juntas e componentes em PTFE puro ou carregado, NBR, FKM e materiais técnicos, conforme desenho</x:v>
      </x:c>
      <x:c r="P169" s="43" t="str">
        <x:v>atender geometrias especiais, pequenas séries e aplicações em que a seleção correta do material é decisiva</x:v>
      </x:c>
      <x:c r="Q169" s="43" t="str">
        <x:v>Segmento da base: Juntas/Vedações; localização: Ponta Grossa/PR; contexto industrial regional usado apenas como hipótese comercial. Sem e-mail público localizado. Nenhuma afirmação sobre clientes ou aplicações específicas da empresa foi feita sem fonte.</x:v>
      </x:c>
      <x:c r="R169" s="43" t="str">
        <x:v>Baixa</x:v>
      </x:c>
      <x:c r="S169" s="43" t="str">
        <x:v>Sim</x:v>
      </x:c>
      <x:c r="T169" s="43" t="str">
        <x:v>Peças especiais para complementar o atendimento da Vedações e Juntas Vila Velha</x:v>
      </x:c>
      <x:c r="U169" s="43" t="str">
        <x:v>Olá, equipe da Vedações e Juntas Vila Velha,</x:v>
      </x:c>
      <x:c r="V169" s="43" t="str">
        <x:v>Olá, equipe da Vedações e Juntas Vila Velha,
Estou entrando em contato porque a atuação da Vedações e Juntas Vila Velha em juntas/vedações tem boa aderência ao tipo de fabricação especial que realizamos na Parts Seals.
Em Ponta Grossa/PR, cadeias como agroindústria, alimentos, papel e celulose e máquinas costumam gerar solicitações de vedações especiais, principalmente quando há pressão, desgaste, ataque químico, temperatura ou dificuldade de reposição. Para o perfil de fornecedor de juntas e vedações técnicas, vemos maior aderência em juntas planas, anéis, sedes, guias e componentes sujeitos a fluidos, temperatura e ataque químico.
A Parts Seals pode apoiar com juntas e componentes em PTFE puro ou carregado, NBR, FKM e materiais técnicos, conforme desenho. A seleção final do material é validada conforme a aplicação; para as demandas mais comuns da região, vale avaliar especialmente NBR, PU, PTFE e FKM. Nosso objetivo é atender geometrias especiais, pequenas séries e aplicações em que a seleção correta do material é decisiva.
Há alguma junta ou componente especial que seus clientes pedem e que hoje exige terceirização ou prazo elevado?
Posso encaminhar uma apresentação curta ou avaliar um item real, sem compromisso?
Atenciosamente,
{{NOME_REMETENTE}}
Parts Seals Vedações Industriais
{{TELEFONE_REMETENTE}} | {{SITE_REMETENTE}}</x:v>
      </x:c>
      <x:c r="W169" s="43" t="str">
        <x:v>Olá, equipe da Vedações e Juntas Vila Velha,
Retomando meu contato: pelo perfil de juntas/vedações de vocês, acredito que podemos apoiar principalmente em juntas planas, anéis, sedes, guias e componentes sujeitos a fluidos, temperatura e ataque químico.
Se tiverem uma medida, desenho ou foto de um item difícil de localizar, podemos fazer uma análise inicial e indicar o material mais adequado. Há algum caso em aberto que possamos avaliar?
Atenciosamente,
{{NOME_REMETENTE}}
Parts Seals Vedações Industriais</x:v>
      </x:c>
      <x:c r="X169" s="43" t="str">
        <x:v>Olá, equipe da Vedações e Juntas Vila Velha,
Encerrando meu contato para não insistir. Caso surja alguma demanda de juntas planas, anéis, sedes, guias e componentes sujeitos a fluidos, temperatura e ataque químico,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69" s="43" t="str">
        <x:v>Há alguma junta ou componente especial que seus clientes pedem e que hoje exige terceirização ou prazo elevado?</x:v>
      </x:c>
      <x:c r="Z169" s="43" t="str">
        <x:v>Este contato foi direcionado a um canal corporativo público por possível aderência entre as atividades das empresas. Para não receber novas mensagens da Parts Seals, responda com REMOVER.</x:v>
      </x:c>
      <x:c r="AA169" s="43" t="str">
        <x:v>Sem e-mail</x:v>
      </x:c>
      <x:c r="AB169" s="43" t="str">
        <x:v>Não</x:v>
      </x:c>
      <x:c r="AC169" s="44"/>
      <x:c r="AD169" s="44"/>
      <x:c r="AE169" s="44"/>
      <x:c r="AF169" s="44"/>
      <x:c r="AG169" s="43"/>
      <x:c r="AH169" s="43"/>
      <x:c r="AI169" s="43" t="str">
        <x:v>Não</x:v>
      </x:c>
      <x:c r="AJ169" s="43"/>
      <x:c r="AK169" s="43"/>
      <x:c r="AL169" s="43" t="str">
        <x:v>https://perfildaindustria.portaldaindustria.com.br/estado/tudo/pr</x:v>
      </x:c>
      <x:c r="AM169" s="43" t="str">
        <x:v>Não localizado em fonte pública confiável até 24/07/2026</x:v>
      </x:c>
      <x:c r="AN169" s="43" t="str">
        <x:v>Pesquise a empresa Vedações e Juntas Vila Velha, de Ponta Grossa/PR,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69" s="43" t="str">
        <x:v>2026-07-24 v1</x:v>
      </x:c>
    </x:row>
    <x:row r="170" ht="72" customHeight="1">
      <x:c r="A170" s="43" t="n">
        <x:v>169</x:v>
      </x:c>
      <x:c r="B170" s="43" t="str">
        <x:v>JCM Industrial Seals</x:v>
      </x:c>
      <x:c r="C170" s="43" t="str">
        <x:v>Vedações</x:v>
      </x:c>
      <x:c r="D170" s="43" t="str">
        <x:v>São José dos Pinhais</x:v>
      </x:c>
      <x:c r="E170" s="43" t="str">
        <x:v>PR</x:v>
      </x:c>
      <x:c r="F170" s="43" t="str">
        <x:v>Sul</x:v>
      </x:c>
      <x:c r="G170" s="43" t="str">
        <x:v>A - Alta</x:v>
      </x:c>
      <x:c r="H170" s="43" t="str">
        <x:v>Não contatado</x:v>
      </x:c>
      <x:c r="I170" s="43"/>
      <x:c r="J170" s="43" t="str">
        <x:v>Não localizado em fonte pública confiável até 24/07/2026</x:v>
      </x:c>
      <x:c r="K170" s="43" t="str">
        <x:v>Não</x:v>
      </x:c>
      <x:c r="L170" s="43" t="str">
        <x:v>especialista ou revenda de vedações industriais</x:v>
      </x:c>
      <x:c r="M170" s="43" t="str">
        <x:v>automotivo, máquinas e manutenção de linhas produtivas</x:v>
      </x:c>
      <x:c r="N170" s="43" t="str">
        <x:v>gaxetas, raspadores, anéis guia, vedações de haste e pistão, retentores especiais e reposições fora de linha</x:v>
      </x:c>
      <x:c r="O170" s="43" t="str">
        <x:v>peças sob medida em PTFE puro ou carregado, poliuretano, NBR, FKM, nylon e outros materiais técnicos</x:v>
      </x:c>
      <x:c r="P170" s="43" t="str">
        <x:v>complementar o portfólio com itens especiais, pequenas e médias séries, urgências e fabricação por desenho ou amostra</x:v>
      </x:c>
      <x:c r="Q170" s="43" t="str">
        <x:v>Segmento da base: Vedações; localização: São José dos Pinhais/PR; contexto industrial regional usado apenas como hipótese comercial. Sem e-mail público localizado. Nenhuma afirmação sobre clientes ou aplicações específicas da empresa foi feita sem fonte.</x:v>
      </x:c>
      <x:c r="R170" s="43" t="str">
        <x:v>Baixa</x:v>
      </x:c>
      <x:c r="S170" s="43" t="str">
        <x:v>Sim</x:v>
      </x:c>
      <x:c r="T170" s="43" t="str">
        <x:v>Possível parceria técnica — JCM Industrial Seals e Parts Seals</x:v>
      </x:c>
      <x:c r="U170" s="43" t="str">
        <x:v>Olá, equipe da JCM Industrial Seals,</x:v>
      </x:c>
      <x:c r="V170" s="43" t="str">
        <x:v>Olá, equipe da JCM Industrial Seals,
Ao analisar o perfil da JCM Industrial Seals em São José dos Pinhais, identifiquei uma possibilidade de parceria para demandas de vedação que não se encaixam bem em linhas padronizadas.
Em São José dos Pinhais/PR, cadeias como automotivo, máquinas e manutenção de linhas produtivas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70" s="43" t="str">
        <x:v>Olá, equipe da JCM Industrial Seals,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70" s="43" t="str">
        <x:v>Olá, equipe da JCM Industrial Seals,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70" s="43" t="str">
        <x:v>Vocês recebem consultas de peças especiais que acabam sem atendimento por prazo, material, quantidade ou ausência de desenho?</x:v>
      </x:c>
      <x:c r="Z170" s="43" t="str">
        <x:v>Este contato foi direcionado a um canal corporativo público por possível aderência entre as atividades das empresas. Para não receber novas mensagens da Parts Seals, responda com REMOVER.</x:v>
      </x:c>
      <x:c r="AA170" s="43" t="str">
        <x:v>Sem e-mail</x:v>
      </x:c>
      <x:c r="AB170" s="43" t="str">
        <x:v>Não</x:v>
      </x:c>
      <x:c r="AC170" s="44"/>
      <x:c r="AD170" s="44"/>
      <x:c r="AE170" s="44"/>
      <x:c r="AF170" s="44"/>
      <x:c r="AG170" s="43"/>
      <x:c r="AH170" s="43"/>
      <x:c r="AI170" s="43" t="str">
        <x:v>Não</x:v>
      </x:c>
      <x:c r="AJ170" s="43"/>
      <x:c r="AK170" s="43"/>
      <x:c r="AL170" s="43" t="str">
        <x:v>https://perfildaindustria.portaldaindustria.com.br/estado/tudo/pr</x:v>
      </x:c>
      <x:c r="AM170" s="43" t="str">
        <x:v>Não localizado em fonte pública confiável até 24/07/2026</x:v>
      </x:c>
      <x:c r="AN170" s="43" t="str">
        <x:v>Pesquise a empresa JCM Industrial Seals, de São José dos Pinhais/PR,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70" s="43" t="str">
        <x:v>2026-07-24 v1</x:v>
      </x:c>
    </x:row>
    <x:row r="171" ht="72" customHeight="1">
      <x:c r="A171" s="43" t="n">
        <x:v>170</x:v>
      </x:c>
      <x:c r="B171" s="43" t="str">
        <x:v>Ateved Vedações</x:v>
      </x:c>
      <x:c r="C171" s="43" t="str">
        <x:v>Fabricante/Vedações</x:v>
      </x:c>
      <x:c r="D171" s="43" t="str">
        <x:v>Canoas</x:v>
      </x:c>
      <x:c r="E171" s="43" t="str">
        <x:v>RS</x:v>
      </x:c>
      <x:c r="F171" s="43" t="str">
        <x:v>Sul</x:v>
      </x:c>
      <x:c r="G171" s="43" t="str">
        <x:v>C - Baixa</x:v>
      </x:c>
      <x:c r="H171" s="43" t="str">
        <x:v>Não contatado</x:v>
      </x:c>
      <x:c r="I171" s="43"/>
      <x:c r="J171" s="43" t="str">
        <x:v>Não localizado em fonte pública confiável até 24/07/2026</x:v>
      </x:c>
      <x:c r="K171" s="43" t="str">
        <x:v>Não</x:v>
      </x:c>
      <x:c r="L171" s="43" t="str">
        <x:v>fabricante ou transformador especializado em vedações</x:v>
      </x:c>
      <x:c r="M171" s="43" t="str">
        <x:v>refino, metalmecânico, logística e manutenção industrial</x:v>
      </x:c>
      <x:c r="N171" s="43" t="str">
        <x:v>itens fora de padrão, picos de demanda, protótipos, reposições urgentes e lotes que exigem processo ou material específico</x:v>
      </x:c>
      <x:c r="O171" s="43" t="str">
        <x:v>componentes usinados e moldados em PTFE puro ou carregado, PU, NBR, FKM e materiais técnicos, conforme desenho ou amostra</x:v>
      </x:c>
      <x:c r="P171" s="43" t="str">
        <x:v>atuar como apoio produtivo complementar, preservando a relação comercial de vocês com o cliente final</x:v>
      </x:c>
      <x:c r="Q171" s="43" t="str">
        <x:v>Segmento da base: Fabricante/Vedações; localização: Canoas/RS; contexto industrial regional usado apenas como hipótese comercial. Sem e-mail público localizado. Nenhuma afirmação sobre clientes ou aplicações específicas da empresa foi feita sem fonte.</x:v>
      </x:c>
      <x:c r="R171" s="43" t="str">
        <x:v>Baixa</x:v>
      </x:c>
      <x:c r="S171" s="43" t="str">
        <x:v>Sim</x:v>
      </x:c>
      <x:c r="T171" s="43" t="str">
        <x:v>Capacidade complementar em vedações — Ateved Vedações</x:v>
      </x:c>
      <x:c r="U171" s="43" t="str">
        <x:v>Olá, equipe da Ateved Vedações,</x:v>
      </x:c>
      <x:c r="V171" s="43" t="str">
        <x:v>Olá, equipe da Ateved Vedações,
A Parts Seals está ampliando parcerias com empresas técnicas do setor, e o perfil da Ateved Vedações chamou nossa atenção pela atuação em fabricante/vedações.
Em Canoas/RS, cadeias como refino, metalmecânico, logística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PTFE, FKM, PU e NBR.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71" s="43" t="str">
        <x:v>Olá, equipe da Ateved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71" s="43" t="str">
        <x:v>Olá, equipe da Ateved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71" s="43" t="str">
        <x:v>Existe hoje algum item especial, urgente ou de baixa quantidade que esteja ocupando capacidade ou ficando sem atendimento?</x:v>
      </x:c>
      <x:c r="Z171" s="43" t="str">
        <x:v>Este contato foi direcionado a um canal corporativo público por possível aderência entre as atividades das empresas. Para não receber novas mensagens da Parts Seals, responda com REMOVER.</x:v>
      </x:c>
      <x:c r="AA171" s="43" t="str">
        <x:v>Sem e-mail</x:v>
      </x:c>
      <x:c r="AB171" s="43" t="str">
        <x:v>Não</x:v>
      </x:c>
      <x:c r="AC171" s="44"/>
      <x:c r="AD171" s="44"/>
      <x:c r="AE171" s="44"/>
      <x:c r="AF171" s="44"/>
      <x:c r="AG171" s="43"/>
      <x:c r="AH171" s="43"/>
      <x:c r="AI171" s="43" t="str">
        <x:v>Não</x:v>
      </x:c>
      <x:c r="AJ171" s="43"/>
      <x:c r="AK171" s="43"/>
      <x:c r="AL171" s="43" t="str">
        <x:v>https://perfildaindustria.portaldaindustria.com.br/estado/tudo/rs</x:v>
      </x:c>
      <x:c r="AM171" s="43" t="str">
        <x:v>Não localizado em fonte pública confiável até 24/07/2026</x:v>
      </x:c>
      <x:c r="AN171" s="43" t="str">
        <x:v>Pesquise a empresa Ateved Vedações, de Canoas/RS,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71" s="43" t="str">
        <x:v>2026-07-24 v1</x:v>
      </x:c>
    </x:row>
    <x:row r="172" ht="72" customHeight="1">
      <x:c r="A172" s="43" t="n">
        <x:v>171</x:v>
      </x:c>
      <x:c r="B172" s="43" t="str">
        <x:v>CGL Casa das Gaxetas</x:v>
      </x:c>
      <x:c r="C172" s="43" t="str">
        <x:v>Vedações</x:v>
      </x:c>
      <x:c r="D172" s="43" t="str">
        <x:v>Caxias do Sul</x:v>
      </x:c>
      <x:c r="E172" s="43" t="str">
        <x:v>RS</x:v>
      </x:c>
      <x:c r="F172" s="43" t="str">
        <x:v>Sul</x:v>
      </x:c>
      <x:c r="G172" s="43" t="str">
        <x:v>A - Alta</x:v>
      </x:c>
      <x:c r="H172" s="43" t="str">
        <x:v>Não contatado</x:v>
      </x:c>
      <x:c r="I172" s="43" t="str">
        <x:v>caxias@gaxetas.com.br</x:v>
      </x:c>
      <x:c r="J172" s="43" t="str">
        <x:v>https://gaxetas.com.br/sobre-nos/</x:v>
      </x:c>
      <x:c r="K172" s="43" t="str">
        <x:v>Sim</x:v>
      </x:c>
      <x:c r="L172" s="43" t="str">
        <x:v>especialista ou revenda de vedações industriais</x:v>
      </x:c>
      <x:c r="M172" s="43" t="str">
        <x:v>metalmecânico, implementos, automotivo, máquinas e alimentos</x:v>
      </x:c>
      <x:c r="N172" s="43" t="str">
        <x:v>gaxetas, raspadores, anéis guia, vedações de haste e pistão, retentores especiais e reposições fora de linha</x:v>
      </x:c>
      <x:c r="O172" s="43" t="str">
        <x:v>peças sob medida em PTFE puro ou carregado, poliuretano, NBR, FKM, nylon e outros materiais técnicos</x:v>
      </x:c>
      <x:c r="P172" s="43" t="str">
        <x:v>complementar o portfólio com itens especiais, pequenas e médias séries, urgências e fabricação por desenho ou amostra</x:v>
      </x:c>
      <x:c r="Q172" s="43" t="str">
        <x:v>Segmento da base: Vedações; localização: Caxias do Sul/RS; contexto industrial regional usado apenas como hipótese comercial. Domínio do e-mail coincide com a fonte oficial. Nenhuma afirmação sobre clientes ou aplicações específicas da empresa foi feita sem fonte.</x:v>
      </x:c>
      <x:c r="R172" s="43" t="str">
        <x:v>Alta</x:v>
      </x:c>
      <x:c r="S172" s="43" t="str">
        <x:v>Recomendada</x:v>
      </x:c>
      <x:c r="T172" s="43" t="str">
        <x:v>Demandas fora de catálogo na CGL Casa das Gaxetas</x:v>
      </x:c>
      <x:c r="U172" s="43" t="str">
        <x:v>Olá, equipe da CGL Casa das Gaxetas,</x:v>
      </x:c>
      <x:c r="V172" s="43" t="str">
        <x:v>Olá, equipe da CGL Casa das Gaxetas,
Gostaria de apresentar uma possibilidade de apoio complementar à CGL Casa das Gaxetas para peças especiais, urgências e reposições fora de catálogo.
Em Caxias do Sul/RS, cadeias como metalmecânico, implementos, automotivo, máquinas e alimentos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72" s="43" t="str">
        <x:v>Olá, equipe da CGL Casa das Gaxetas,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72" s="43" t="str">
        <x:v>Olá, equipe da CGL Casa das Gaxetas,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72" s="43" t="str">
        <x:v>Vocês recebem consultas de peças especiais que acabam sem atendimento por prazo, material, quantidade ou ausência de desenho?</x:v>
      </x:c>
      <x:c r="Z172" s="43" t="str">
        <x:v>Este contato foi direcionado a um canal corporativo público por possível aderência entre as atividades das empresas. Para não receber novas mensagens da Parts Seals, responda com REMOVER.</x:v>
      </x:c>
      <x:c r="AA172" s="43" t="str">
        <x:v>Aguardando aprovação</x:v>
      </x:c>
      <x:c r="AB172" s="43" t="str">
        <x:v>Não</x:v>
      </x:c>
      <x:c r="AC172" s="44"/>
      <x:c r="AD172" s="44"/>
      <x:c r="AE172" s="44"/>
      <x:c r="AF172" s="44"/>
      <x:c r="AG172" s="43"/>
      <x:c r="AH172" s="43"/>
      <x:c r="AI172" s="43" t="str">
        <x:v>Não</x:v>
      </x:c>
      <x:c r="AJ172" s="43"/>
      <x:c r="AK172" s="43"/>
      <x:c r="AL172" s="43" t="str">
        <x:v>https://perfildaindustria.portaldaindustria.com.br/estado/tudo/rs</x:v>
      </x:c>
      <x:c r="AM172" s="43" t="str">
        <x:v>https://gaxetas.com.br/sobre-nos/</x:v>
      </x:c>
      <x:c r="AN172" s="43" t="str">
        <x:v>Pesquise a empresa CGL Casa das Gaxetas, de Caxias do Sul/RS,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72" s="43" t="str">
        <x:v>2026-07-24 v1</x:v>
      </x:c>
    </x:row>
    <x:row r="173" ht="72" customHeight="1">
      <x:c r="A173" s="43" t="n">
        <x:v>172</x:v>
      </x:c>
      <x:c r="B173" s="43" t="str">
        <x:v>Central de Vedações</x:v>
      </x:c>
      <x:c r="C173" s="43" t="str">
        <x:v>Vedações</x:v>
      </x:c>
      <x:c r="D173" s="43" t="str">
        <x:v>Caxias do Sul</x:v>
      </x:c>
      <x:c r="E173" s="43" t="str">
        <x:v>RS</x:v>
      </x:c>
      <x:c r="F173" s="43" t="str">
        <x:v>Sul</x:v>
      </x:c>
      <x:c r="G173" s="43" t="str">
        <x:v>A - Alta</x:v>
      </x:c>
      <x:c r="H173" s="43" t="str">
        <x:v>Não contatado</x:v>
      </x:c>
      <x:c r="I173" s="43"/>
      <x:c r="J173" s="43" t="str">
        <x:v>Não localizado em fonte pública confiável até 24/07/2026</x:v>
      </x:c>
      <x:c r="K173" s="43" t="str">
        <x:v>Não</x:v>
      </x:c>
      <x:c r="L173" s="43" t="str">
        <x:v>especialista ou revenda de vedações industriais</x:v>
      </x:c>
      <x:c r="M173" s="43" t="str">
        <x:v>metalmecânico, implementos, automotivo, máquinas e alimentos</x:v>
      </x:c>
      <x:c r="N173" s="43" t="str">
        <x:v>gaxetas, raspadores, anéis guia, vedações de haste e pistão, retentores especiais e reposições fora de linha</x:v>
      </x:c>
      <x:c r="O173" s="43" t="str">
        <x:v>peças sob medida em PTFE puro ou carregado, poliuretano, NBR, FKM, nylon e outros materiais técnicos</x:v>
      </x:c>
      <x:c r="P173" s="43" t="str">
        <x:v>complementar o portfólio com itens especiais, pequenas e médias séries, urgências e fabricação por desenho ou amostra</x:v>
      </x:c>
      <x:c r="Q173" s="43" t="str">
        <x:v>Segmento da base: Vedações; localização: Caxias do Sul/RS; contexto industrial regional usado apenas como hipótese comercial. Sem e-mail público localizado. Nenhuma afirmação sobre clientes ou aplicações específicas da empresa foi feita sem fonte.</x:v>
      </x:c>
      <x:c r="R173" s="43" t="str">
        <x:v>Baixa</x:v>
      </x:c>
      <x:c r="S173" s="43" t="str">
        <x:v>Sim</x:v>
      </x:c>
      <x:c r="T173" s="43" t="str">
        <x:v>Peças especiais para complementar o atendimento da Central de Vedações</x:v>
      </x:c>
      <x:c r="U173" s="43" t="str">
        <x:v>Olá, equipe da Central de Vedações,</x:v>
      </x:c>
      <x:c r="V173" s="43" t="str">
        <x:v>Olá, equipe da Central de Vedações,
Estou entrando em contato porque a atuação da Central de Vedações em vedações tem boa aderência ao tipo de fabricação especial que realizamos na Parts Seals.
Em Caxias do Sul/RS, cadeias como metalmecânico, implementos, automotivo, máquinas e alimentos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73" s="43" t="str">
        <x:v>Olá, equipe da Central de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73" s="43" t="str">
        <x:v>Olá, equipe da Central de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73" s="43" t="str">
        <x:v>Vocês recebem consultas de peças especiais que acabam sem atendimento por prazo, material, quantidade ou ausência de desenho?</x:v>
      </x:c>
      <x:c r="Z173" s="43" t="str">
        <x:v>Este contato foi direcionado a um canal corporativo público por possível aderência entre as atividades das empresas. Para não receber novas mensagens da Parts Seals, responda com REMOVER.</x:v>
      </x:c>
      <x:c r="AA173" s="43" t="str">
        <x:v>Sem e-mail</x:v>
      </x:c>
      <x:c r="AB173" s="43" t="str">
        <x:v>Não</x:v>
      </x:c>
      <x:c r="AC173" s="44"/>
      <x:c r="AD173" s="44"/>
      <x:c r="AE173" s="44"/>
      <x:c r="AF173" s="44"/>
      <x:c r="AG173" s="43"/>
      <x:c r="AH173" s="43"/>
      <x:c r="AI173" s="43" t="str">
        <x:v>Não</x:v>
      </x:c>
      <x:c r="AJ173" s="43"/>
      <x:c r="AK173" s="43"/>
      <x:c r="AL173" s="43" t="str">
        <x:v>https://perfildaindustria.portaldaindustria.com.br/estado/tudo/rs</x:v>
      </x:c>
      <x:c r="AM173" s="43" t="str">
        <x:v>Não localizado em fonte pública confiável até 24/07/2026</x:v>
      </x:c>
      <x:c r="AN173" s="43" t="str">
        <x:v>Pesquise a empresa Central de Vedações, de Caxias do Sul/RS,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73" s="43" t="str">
        <x:v>2026-07-24 v1</x:v>
      </x:c>
    </x:row>
    <x:row r="174" ht="72" customHeight="1">
      <x:c r="A174" s="43" t="n">
        <x:v>173</x:v>
      </x:c>
      <x:c r="B174" s="43" t="str">
        <x:v>Kipel Comércio de Vedações Hidráulicas e Pneumáticas</x:v>
      </x:c>
      <x:c r="C174" s="43" t="str">
        <x:v>Hidráulica/Vedações</x:v>
      </x:c>
      <x:c r="D174" s="43" t="str">
        <x:v>Caxias do Sul</x:v>
      </x:c>
      <x:c r="E174" s="43" t="str">
        <x:v>RS</x:v>
      </x:c>
      <x:c r="F174" s="43" t="str">
        <x:v>Sul</x:v>
      </x:c>
      <x:c r="G174" s="43" t="str">
        <x:v>B - Média</x:v>
      </x:c>
      <x:c r="H174" s="43" t="str">
        <x:v>Não contatado</x:v>
      </x:c>
      <x:c r="I174" s="43" t="str">
        <x:v>contato@kipel.com.br</x:v>
      </x:c>
      <x:c r="J174" s="43" t="str">
        <x:v>https://kipel.com.br/</x:v>
      </x:c>
      <x:c r="K174" s="43" t="str">
        <x:v>Sim</x:v>
      </x:c>
      <x:c r="L174" s="43" t="str">
        <x:v>fornecedor de componentes hidráulicos e vedações</x:v>
      </x:c>
      <x:c r="M174" s="43" t="str">
        <x:v>metalmecânico, implementos, automotivo, máquinas e alimentos</x:v>
      </x:c>
      <x:c r="N174" s="43" t="str">
        <x:v>gaxetas de haste e pistão, raspadores, anéis guia, vedações rotativas e kits para cilindros hidráulicos</x:v>
      </x:c>
      <x:c r="O174" s="43" t="str">
        <x:v>vedações em PU, PTFE puro ou carregado, NBR e FKM, dimensionadas conforme pressão, velocidade, fluido e temperatura</x:v>
      </x:c>
      <x:c r="P174" s="43" t="str">
        <x:v>apoiar reformas e montagens com peças não padronizadas, reposições antigas e fabricação rápida por amostra ou desenho</x:v>
      </x:c>
      <x:c r="Q174" s="43" t="str">
        <x:v>Segmento da base: Hidráulica/Vedações; localização: Caxias do Sul/RS; contexto industrial regional usado apenas como hipótese comercial. Domínio do e-mail coincide com a fonte oficial. Nenhuma afirmação sobre clientes ou aplicações específicas da empresa foi feita sem fonte.</x:v>
      </x:c>
      <x:c r="R174" s="43" t="str">
        <x:v>Alta</x:v>
      </x:c>
      <x:c r="S174" s="43" t="str">
        <x:v>Recomendada</x:v>
      </x:c>
      <x:c r="T174" s="43" t="str">
        <x:v>Apoio em cilindros e medidas fora de catálogo</x:v>
      </x:c>
      <x:c r="U174" s="43" t="str">
        <x:v>Olá, equipe da Kipel Comércio de Vedações Hidráulicas e Pneumáticas,</x:v>
      </x:c>
      <x:c r="V174" s="43" t="str">
        <x:v>Olá, equipe da Kipel Comércio de Vedações Hidráulicas e Pneumáticas,
Ao analisar o perfil da Kipel Comércio de Vedações Hidráulicas e Pneumáticas em Caxias do Sul, identifiquei uma possibilidade de parceria para demandas de vedação que não se encaixam bem em linhas padronizadas.
Em Caxias do Sul/RS, cadeias como metalmecânico, implementos, automotivo, máquinas e alimentos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PU, NBR,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174" s="43" t="str">
        <x:v>Olá, equipe da Kipel Comércio de Vedações Hidráulicas e Pneumáticas,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174" s="43" t="str">
        <x:v>Olá, equipe da Kipel Comércio de Vedações Hidráulicas e Pneumáticas,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74" s="43" t="str">
        <x:v>Há cilindros ou equipamentos para os quais vocês têm dificuldade de localizar a vedação correta ou cumprir o prazo do cliente?</x:v>
      </x:c>
      <x:c r="Z174" s="43" t="str">
        <x:v>Este contato foi direcionado a um canal corporativo público por possível aderência entre as atividades das empresas. Para não receber novas mensagens da Parts Seals, responda com REMOVER.</x:v>
      </x:c>
      <x:c r="AA174" s="43" t="str">
        <x:v>Aguardando aprovação</x:v>
      </x:c>
      <x:c r="AB174" s="43" t="str">
        <x:v>Não</x:v>
      </x:c>
      <x:c r="AC174" s="44"/>
      <x:c r="AD174" s="44"/>
      <x:c r="AE174" s="44"/>
      <x:c r="AF174" s="44"/>
      <x:c r="AG174" s="43"/>
      <x:c r="AH174" s="43"/>
      <x:c r="AI174" s="43" t="str">
        <x:v>Não</x:v>
      </x:c>
      <x:c r="AJ174" s="43"/>
      <x:c r="AK174" s="43"/>
      <x:c r="AL174" s="43" t="str">
        <x:v>https://perfildaindustria.portaldaindustria.com.br/estado/tudo/rs</x:v>
      </x:c>
      <x:c r="AM174" s="43" t="str">
        <x:v>https://kipel.com.br/</x:v>
      </x:c>
      <x:c r="AN174" s="43" t="str">
        <x:v>Pesquise a empresa Kipel Comércio de Vedações Hidráulicas e Pneumáticas, de Caxias do Sul/RS,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74" s="43" t="str">
        <x:v>2026-07-24 v1</x:v>
      </x:c>
    </x:row>
    <x:row r="175" ht="72" customHeight="1">
      <x:c r="A175" s="43" t="n">
        <x:v>174</x:v>
      </x:c>
      <x:c r="B175" s="43" t="str">
        <x:v>LDV Comércio de Peças para Vedação e Fixação</x:v>
      </x:c>
      <x:c r="C175" s="43" t="str">
        <x:v>Vedações</x:v>
      </x:c>
      <x:c r="D175" s="43" t="str">
        <x:v>Caxias do Sul</x:v>
      </x:c>
      <x:c r="E175" s="43" t="str">
        <x:v>RS</x:v>
      </x:c>
      <x:c r="F175" s="43" t="str">
        <x:v>Sul</x:v>
      </x:c>
      <x:c r="G175" s="43" t="str">
        <x:v>B - Média</x:v>
      </x:c>
      <x:c r="H175" s="43" t="str">
        <x:v>Não contatado</x:v>
      </x:c>
      <x:c r="I175" s="43"/>
      <x:c r="J175" s="43" t="str">
        <x:v>Não localizado em fonte pública confiável até 24/07/2026</x:v>
      </x:c>
      <x:c r="K175" s="43" t="str">
        <x:v>Não</x:v>
      </x:c>
      <x:c r="L175" s="43" t="str">
        <x:v>especialista ou revenda de vedações industriais</x:v>
      </x:c>
      <x:c r="M175" s="43" t="str">
        <x:v>metalmecânico, implementos, automotivo, máquinas e alimentos</x:v>
      </x:c>
      <x:c r="N175" s="43" t="str">
        <x:v>gaxetas, raspadores, anéis guia, vedações de haste e pistão, retentores especiais e reposições fora de linha</x:v>
      </x:c>
      <x:c r="O175" s="43" t="str">
        <x:v>peças sob medida em PTFE puro ou carregado, poliuretano, NBR, FKM, nylon e outros materiais técnicos</x:v>
      </x:c>
      <x:c r="P175" s="43" t="str">
        <x:v>complementar o portfólio com itens especiais, pequenas e médias séries, urgências e fabricação por desenho ou amostra</x:v>
      </x:c>
      <x:c r="Q175" s="43" t="str">
        <x:v>Segmento da base: Vedações; localização: Caxias do Sul/RS; contexto industrial regional usado apenas como hipótese comercial. Sem e-mail público localizado. Nenhuma afirmação sobre clientes ou aplicações específicas da empresa foi feita sem fonte.</x:v>
      </x:c>
      <x:c r="R175" s="43" t="str">
        <x:v>Baixa</x:v>
      </x:c>
      <x:c r="S175" s="43" t="str">
        <x:v>Sim</x:v>
      </x:c>
      <x:c r="T175" s="43" t="str">
        <x:v>Apoio em vedações sob medida para a LDV Comércio de Peças para Vedação e Fixação</x:v>
      </x:c>
      <x:c r="U175" s="43" t="str">
        <x:v>Olá, equipe da LDV Comércio de Peças para Vedação e Fixação,</x:v>
      </x:c>
      <x:c r="V175" s="43" t="str">
        <x:v>Olá, equipe da LDV Comércio de Peças para Vedação e Fixação,
A Parts Seals está ampliando parcerias com empresas técnicas do setor, e o perfil da LDV Comércio de Peças para Vedação e Fixação chamou nossa atenção pela atuação em vedações.
Em Caxias do Sul/RS, cadeias como metalmecânico, implementos, automotivo, máquinas e alimentos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75" s="43" t="str">
        <x:v>Olá, equipe da LDV Comércio de Peças para Vedação e Fixação,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75" s="43" t="str">
        <x:v>Olá, equipe da LDV Comércio de Peças para Vedação e Fixação,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75" s="43" t="str">
        <x:v>Vocês recebem consultas de peças especiais que acabam sem atendimento por prazo, material, quantidade ou ausência de desenho?</x:v>
      </x:c>
      <x:c r="Z175" s="43" t="str">
        <x:v>Este contato foi direcionado a um canal corporativo público por possível aderência entre as atividades das empresas. Para não receber novas mensagens da Parts Seals, responda com REMOVER.</x:v>
      </x:c>
      <x:c r="AA175" s="43" t="str">
        <x:v>Sem e-mail</x:v>
      </x:c>
      <x:c r="AB175" s="43" t="str">
        <x:v>Não</x:v>
      </x:c>
      <x:c r="AC175" s="44"/>
      <x:c r="AD175" s="44"/>
      <x:c r="AE175" s="44"/>
      <x:c r="AF175" s="44"/>
      <x:c r="AG175" s="43"/>
      <x:c r="AH175" s="43"/>
      <x:c r="AI175" s="43" t="str">
        <x:v>Não</x:v>
      </x:c>
      <x:c r="AJ175" s="43"/>
      <x:c r="AK175" s="43"/>
      <x:c r="AL175" s="43" t="str">
        <x:v>https://perfildaindustria.portaldaindustria.com.br/estado/tudo/rs</x:v>
      </x:c>
      <x:c r="AM175" s="43" t="str">
        <x:v>Não localizado em fonte pública confiável até 24/07/2026</x:v>
      </x:c>
      <x:c r="AN175" s="43" t="str">
        <x:v>Pesquise a empresa LDV Comércio de Peças para Vedação e Fixação, de Caxias do Sul/RS,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75" s="43" t="str">
        <x:v>2026-07-24 v1</x:v>
      </x:c>
    </x:row>
    <x:row r="176" ht="72" customHeight="1">
      <x:c r="A176" s="43" t="n">
        <x:v>175</x:v>
      </x:c>
      <x:c r="B176" s="43" t="str">
        <x:v>MR Vedações (Metalved)</x:v>
      </x:c>
      <x:c r="C176" s="43" t="str">
        <x:v>Fabricante/Vedações</x:v>
      </x:c>
      <x:c r="D176" s="43" t="str">
        <x:v>Caxias do Sul</x:v>
      </x:c>
      <x:c r="E176" s="43" t="str">
        <x:v>RS</x:v>
      </x:c>
      <x:c r="F176" s="43" t="str">
        <x:v>Sul</x:v>
      </x:c>
      <x:c r="G176" s="43" t="str">
        <x:v>B - Média</x:v>
      </x:c>
      <x:c r="H176" s="43" t="str">
        <x:v>Não contatado</x:v>
      </x:c>
      <x:c r="I176" s="43"/>
      <x:c r="J176" s="43" t="str">
        <x:v>Não localizado em fonte pública confiável até 24/07/2026</x:v>
      </x:c>
      <x:c r="K176" s="43" t="str">
        <x:v>Não</x:v>
      </x:c>
      <x:c r="L176" s="43" t="str">
        <x:v>fabricante ou transformador especializado em vedações</x:v>
      </x:c>
      <x:c r="M176" s="43" t="str">
        <x:v>metalmecânico, implementos, automotivo, máquinas e alimentos</x:v>
      </x:c>
      <x:c r="N176" s="43" t="str">
        <x:v>itens fora de padrão, picos de demanda, protótipos, reposições urgentes e lotes que exigem processo ou material específico</x:v>
      </x:c>
      <x:c r="O176" s="43" t="str">
        <x:v>componentes usinados e moldados em PTFE puro ou carregado, PU, NBR, FKM e materiais técnicos, conforme desenho ou amostra</x:v>
      </x:c>
      <x:c r="P176" s="43" t="str">
        <x:v>atuar como apoio produtivo complementar, preservando a relação comercial de vocês com o cliente final</x:v>
      </x:c>
      <x:c r="Q176" s="43" t="str">
        <x:v>Segmento da base: Fabricante/Vedações; localização: Caxias do Sul/RS; contexto industrial regional usado apenas como hipótese comercial. Sem e-mail público localizado. Nenhuma afirmação sobre clientes ou aplicações específicas da empresa foi feita sem fonte.</x:v>
      </x:c>
      <x:c r="R176" s="43" t="str">
        <x:v>Baixa</x:v>
      </x:c>
      <x:c r="S176" s="43" t="str">
        <x:v>Sim</x:v>
      </x:c>
      <x:c r="T176" s="43" t="str">
        <x:v>Itens urgentes ou fora de padrão — MR Vedações (Metalved)</x:v>
      </x:c>
      <x:c r="U176" s="43" t="str">
        <x:v>Olá, equipe da MR Vedações (Metalved),</x:v>
      </x:c>
      <x:c r="V176" s="43" t="str">
        <x:v>Olá, equipe da MR Vedações (Metalved),
Gostaria de apresentar uma possibilidade de apoio complementar à MR Vedações (Metalved) para peças especiais, urgências e reposições fora de catálogo.
Em Caxias do Sul/RS, cadeias como metalmecânico, implementos, automotivo, máquinas e alimentos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76" s="43" t="str">
        <x:v>Olá, equipe da MR Vedações (Metalved),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76" s="43" t="str">
        <x:v>Olá, equipe da MR Vedações (Metalved),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76" s="43" t="str">
        <x:v>Existe hoje algum item especial, urgente ou de baixa quantidade que esteja ocupando capacidade ou ficando sem atendimento?</x:v>
      </x:c>
      <x:c r="Z176" s="43" t="str">
        <x:v>Este contato foi direcionado a um canal corporativo público por possível aderência entre as atividades das empresas. Para não receber novas mensagens da Parts Seals, responda com REMOVER.</x:v>
      </x:c>
      <x:c r="AA176" s="43" t="str">
        <x:v>Sem e-mail</x:v>
      </x:c>
      <x:c r="AB176" s="43" t="str">
        <x:v>Não</x:v>
      </x:c>
      <x:c r="AC176" s="44"/>
      <x:c r="AD176" s="44"/>
      <x:c r="AE176" s="44"/>
      <x:c r="AF176" s="44"/>
      <x:c r="AG176" s="43"/>
      <x:c r="AH176" s="43"/>
      <x:c r="AI176" s="43" t="str">
        <x:v>Não</x:v>
      </x:c>
      <x:c r="AJ176" s="43"/>
      <x:c r="AK176" s="43"/>
      <x:c r="AL176" s="43" t="str">
        <x:v>https://perfildaindustria.portaldaindustria.com.br/estado/tudo/rs</x:v>
      </x:c>
      <x:c r="AM176" s="43" t="str">
        <x:v>Não localizado em fonte pública confiável até 24/07/2026</x:v>
      </x:c>
      <x:c r="AN176" s="43" t="str">
        <x:v>Pesquise a empresa MR Vedações (Metalved), de Caxias do Sul/RS,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76" s="43" t="str">
        <x:v>2026-07-24 v1</x:v>
      </x:c>
    </x:row>
    <x:row r="177" ht="72" customHeight="1">
      <x:c r="A177" s="43" t="n">
        <x:v>176</x:v>
      </x:c>
      <x:c r="B177" s="43" t="str">
        <x:v>Sideral Ind. e Com. de Peças</x:v>
      </x:c>
      <x:c r="C177" s="43" t="str">
        <x:v>Fixação/Vedações</x:v>
      </x:c>
      <x:c r="D177" s="43" t="str">
        <x:v>Caxias do Sul</x:v>
      </x:c>
      <x:c r="E177" s="43" t="str">
        <x:v>RS</x:v>
      </x:c>
      <x:c r="F177" s="43" t="str">
        <x:v>Sul</x:v>
      </x:c>
      <x:c r="G177" s="43" t="str">
        <x:v>B - Média</x:v>
      </x:c>
      <x:c r="H177" s="43" t="str">
        <x:v>Não contatado</x:v>
      </x:c>
      <x:c r="I177" s="43"/>
      <x:c r="J177" s="43" t="str">
        <x:v>Não localizado em fonte pública confiável até 24/07/2026</x:v>
      </x:c>
      <x:c r="K177" s="43" t="str">
        <x:v>Não</x:v>
      </x:c>
      <x:c r="L177" s="43" t="str">
        <x:v>distribuidor de fixação e vedações</x:v>
      </x:c>
      <x:c r="M177" s="43" t="str">
        <x:v>metalmecânico, implementos, automotivo, máquinas e alimentos</x:v>
      </x:c>
      <x:c r="N177" s="43" t="str">
        <x:v>anéis, retentores, juntas e componentes especiais para manutenção e montagem industrial</x:v>
      </x:c>
      <x:c r="O177" s="43" t="str">
        <x:v>peças em PTFE, PU, NBR e FKM em medidas especiais</x:v>
      </x:c>
      <x:c r="P177" s="43" t="str">
        <x:v>ampliar o atendimento de itens técnicos que não fazem parte da linha padronizada</x:v>
      </x:c>
      <x:c r="Q177" s="43" t="str">
        <x:v>Segmento da base: Fixação/Vedações; localização: Caxias do Sul/RS; contexto industrial regional usado apenas como hipótese comercial. Sem e-mail público localizado. Nenhuma afirmação sobre clientes ou aplicações específicas da empresa foi feita sem fonte.</x:v>
      </x:c>
      <x:c r="R177" s="43" t="str">
        <x:v>Baixa</x:v>
      </x:c>
      <x:c r="S177" s="43" t="str">
        <x:v>Sim</x:v>
      </x:c>
      <x:c r="T177" s="43" t="str">
        <x:v>Peças especiais para complementar o atendimento da Sideral Ind. e Com. de Peças</x:v>
      </x:c>
      <x:c r="U177" s="43" t="str">
        <x:v>Olá, equipe da Sideral Ind. e Com. de Peças,</x:v>
      </x:c>
      <x:c r="V177" s="43" t="str">
        <x:v>Olá, equipe da Sideral Ind. e Com. de Peças,
Estou entrando em contato porque a atuação da Sideral Ind. e Com. de Peças em fixação/vedações tem boa aderência ao tipo de fabricação especial que realizamos na Parts Seals.
Em Caxias do Sul/RS, cadeias como metalmecânico, implementos, automotivo, máquinas e alimentos costumam gerar solicitações de vedações especiais, principalmente quando há pressão, desgaste, ataque químico, temperatura ou dificuldade de reposição. Para o perfil de distribuidor de fixação e vedações, vemos maior aderência em anéis, retentores, juntas e componentes especiais para manutenção e montagem industrial.
A Parts Seals pode apoiar com peças em PTFE, PU, NBR e FKM em medidas especiais. A seleção final do material é validada conforme a aplicação; para as demandas mais comuns da região, vale avaliar especialmente PU, NBR, PTFE e FKM. Nosso objetivo é ampliar o atendimento de itens técnicos que não fazem parte da linha padronizada.
Quais vedações especiais aparecem junto às demandas de fixadores e manutenção dos seus clientes?
Posso encaminhar uma apresentação curta ou avaliar um item real, sem compromisso?
Atenciosamente,
{{NOME_REMETENTE}}
Parts Seals Vedações Industriais
{{TELEFONE_REMETENTE}} | {{SITE_REMETENTE}}</x:v>
      </x:c>
      <x:c r="W177" s="43" t="str">
        <x:v>Olá, equipe da Sideral Ind. e Com. de Peças,
Retomando meu contato: pelo perfil de fixação/vedações de vocês, acredito que podemos apoiar principalmente em anéis, retentores, juntas e componentes especiais para manutenção e montagem industrial.
Se tiverem uma medida, desenho ou foto de um item difícil de localizar, podemos fazer uma análise inicial e indicar o material mais adequado. Há algum caso em aberto que possamos avaliar?
Atenciosamente,
{{NOME_REMETENTE}}
Parts Seals Vedações Industriais</x:v>
      </x:c>
      <x:c r="X177" s="43" t="str">
        <x:v>Olá, equipe da Sideral Ind. e Com. de Peças,
Encerrando meu contato para não insistir. Caso surja alguma demanda de anéis, retentores, juntas e componentes especiais para manutenção e montagem industrial,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77" s="43" t="str">
        <x:v>Quais vedações especiais aparecem junto às demandas de fixadores e manutenção dos seus clientes?</x:v>
      </x:c>
      <x:c r="Z177" s="43" t="str">
        <x:v>Este contato foi direcionado a um canal corporativo público por possível aderência entre as atividades das empresas. Para não receber novas mensagens da Parts Seals, responda com REMOVER.</x:v>
      </x:c>
      <x:c r="AA177" s="43" t="str">
        <x:v>Sem e-mail</x:v>
      </x:c>
      <x:c r="AB177" s="43" t="str">
        <x:v>Não</x:v>
      </x:c>
      <x:c r="AC177" s="44"/>
      <x:c r="AD177" s="44"/>
      <x:c r="AE177" s="44"/>
      <x:c r="AF177" s="44"/>
      <x:c r="AG177" s="43"/>
      <x:c r="AH177" s="43"/>
      <x:c r="AI177" s="43" t="str">
        <x:v>Não</x:v>
      </x:c>
      <x:c r="AJ177" s="43"/>
      <x:c r="AK177" s="43"/>
      <x:c r="AL177" s="43" t="str">
        <x:v>https://perfildaindustria.portaldaindustria.com.br/estado/tudo/rs</x:v>
      </x:c>
      <x:c r="AM177" s="43" t="str">
        <x:v>Não localizado em fonte pública confiável até 24/07/2026</x:v>
      </x:c>
      <x:c r="AN177" s="43" t="str">
        <x:v>Pesquise a empresa Sideral Ind. e Com. de Peças, de Caxias do Sul/RS,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77" s="43" t="str">
        <x:v>2026-07-24 v1</x:v>
      </x:c>
    </x:row>
    <x:row r="178" ht="72" customHeight="1">
      <x:c r="A178" s="43" t="n">
        <x:v>177</x:v>
      </x:c>
      <x:c r="B178" s="43" t="str">
        <x:v>Vedajet Ind. e Com. de Vedações</x:v>
      </x:c>
      <x:c r="C178" s="43" t="str">
        <x:v>Fabricante/Vedações</x:v>
      </x:c>
      <x:c r="D178" s="43" t="str">
        <x:v>Caxias do Sul</x:v>
      </x:c>
      <x:c r="E178" s="43" t="str">
        <x:v>RS</x:v>
      </x:c>
      <x:c r="F178" s="43" t="str">
        <x:v>Sul</x:v>
      </x:c>
      <x:c r="G178" s="43" t="str">
        <x:v>C - Baixa</x:v>
      </x:c>
      <x:c r="H178" s="43" t="str">
        <x:v>Não contatado</x:v>
      </x:c>
      <x:c r="I178" s="43" t="str">
        <x:v>vedajet@vedajet.com.br</x:v>
      </x:c>
      <x:c r="J178" s="43" t="str">
        <x:v>https://www.vedajet.com.br/</x:v>
      </x:c>
      <x:c r="K178" s="43" t="str">
        <x:v>Sim</x:v>
      </x:c>
      <x:c r="L178" s="43" t="str">
        <x:v>fabricante ou transformador especializado em vedações</x:v>
      </x:c>
      <x:c r="M178" s="43" t="str">
        <x:v>metalmecânico, implementos, automotivo, máquinas e alimentos</x:v>
      </x:c>
      <x:c r="N178" s="43" t="str">
        <x:v>itens fora de padrão, picos de demanda, protótipos, reposições urgentes e lotes que exigem processo ou material específico</x:v>
      </x:c>
      <x:c r="O178" s="43" t="str">
        <x:v>componentes usinados e moldados em PTFE puro ou carregado, PU, NBR, FKM e materiais técnicos, conforme desenho ou amostra</x:v>
      </x:c>
      <x:c r="P178" s="43" t="str">
        <x:v>atuar como apoio produtivo complementar, preservando a relação comercial de vocês com o cliente final</x:v>
      </x:c>
      <x:c r="Q178" s="43" t="str">
        <x:v>Segmento da base: Fabricante/Vedações; localização: Caxias do Sul/RS; contexto industrial regional usado apenas como hipótese comercial. Domínio do e-mail coincide com a fonte oficial. Nenhuma afirmação sobre clientes ou aplicações específicas da empresa foi feita sem fonte.</x:v>
      </x:c>
      <x:c r="R178" s="43" t="str">
        <x:v>Alta</x:v>
      </x:c>
      <x:c r="S178" s="43" t="str">
        <x:v>Recomendada</x:v>
      </x:c>
      <x:c r="T178" s="43" t="str">
        <x:v>Parceria para picos de demanda e peças especiais</x:v>
      </x:c>
      <x:c r="U178" s="43" t="str">
        <x:v>Olá, equipe da Vedajet Ind. e Com. de Vedações,</x:v>
      </x:c>
      <x:c r="V178" s="43" t="str">
        <x:v>Olá, equipe da Vedajet Ind. e Com. de Vedações,
Ao analisar o perfil da Vedajet Ind. e Com. de Vedações em Caxias do Sul, identifiquei uma possibilidade de parceria para demandas de vedação que não se encaixam bem em linhas padronizadas.
Em Caxias do Sul/RS, cadeias como metalmecânico, implementos, automotivo, máquinas e alimentos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PU, NBR,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78" s="43" t="str">
        <x:v>Olá, equipe da Vedajet Ind. e Com. de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78" s="43" t="str">
        <x:v>Olá, equipe da Vedajet Ind. e Com. de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78" s="43" t="str">
        <x:v>Existe hoje algum item especial, urgente ou de baixa quantidade que esteja ocupando capacidade ou ficando sem atendimento?</x:v>
      </x:c>
      <x:c r="Z178" s="43" t="str">
        <x:v>Este contato foi direcionado a um canal corporativo público por possível aderência entre as atividades das empresas. Para não receber novas mensagens da Parts Seals, responda com REMOVER.</x:v>
      </x:c>
      <x:c r="AA178" s="43" t="str">
        <x:v>Aguardando aprovação</x:v>
      </x:c>
      <x:c r="AB178" s="43" t="str">
        <x:v>Não</x:v>
      </x:c>
      <x:c r="AC178" s="44"/>
      <x:c r="AD178" s="44"/>
      <x:c r="AE178" s="44"/>
      <x:c r="AF178" s="44"/>
      <x:c r="AG178" s="43"/>
      <x:c r="AH178" s="43"/>
      <x:c r="AI178" s="43" t="str">
        <x:v>Não</x:v>
      </x:c>
      <x:c r="AJ178" s="43"/>
      <x:c r="AK178" s="43"/>
      <x:c r="AL178" s="43" t="str">
        <x:v>https://perfildaindustria.portaldaindustria.com.br/estado/tudo/rs</x:v>
      </x:c>
      <x:c r="AM178" s="43" t="str">
        <x:v>https://www.vedajet.com.br/</x:v>
      </x:c>
      <x:c r="AN178" s="43" t="str">
        <x:v>Pesquise a empresa Vedajet Ind. e Com. de Vedações, de Caxias do Sul/RS,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78" s="43" t="str">
        <x:v>2026-07-24 v1</x:v>
      </x:c>
    </x:row>
    <x:row r="179" ht="72" customHeight="1">
      <x:c r="A179" s="43" t="n">
        <x:v>178</x:v>
      </x:c>
      <x:c r="B179" s="43" t="str">
        <x:v>RS Vedações Hidráulicas e Pneumáticas</x:v>
      </x:c>
      <x:c r="C179" s="43" t="str">
        <x:v>Hidráulica/Vedações</x:v>
      </x:c>
      <x:c r="D179" s="43" t="str">
        <x:v>Novo Hamburgo</x:v>
      </x:c>
      <x:c r="E179" s="43" t="str">
        <x:v>RS</x:v>
      </x:c>
      <x:c r="F179" s="43" t="str">
        <x:v>Sul</x:v>
      </x:c>
      <x:c r="G179" s="43" t="str">
        <x:v>B - Média</x:v>
      </x:c>
      <x:c r="H179" s="43" t="str">
        <x:v>Não contatado</x:v>
      </x:c>
      <x:c r="I179" s="43"/>
      <x:c r="J179" s="43" t="str">
        <x:v>Não localizado em fonte pública confiável até 24/07/2026</x:v>
      </x:c>
      <x:c r="K179" s="43" t="str">
        <x:v>Não</x:v>
      </x:c>
      <x:c r="L179" s="43" t="str">
        <x:v>fornecedor de componentes hidráulicos e vedações</x:v>
      </x:c>
      <x:c r="M179" s="43" t="str">
        <x:v>calçados, máquinas, borracha, plástico e manutenção industrial</x:v>
      </x:c>
      <x:c r="N179" s="43" t="str">
        <x:v>gaxetas de haste e pistão, raspadores, anéis guia, vedações rotativas e kits para cilindros hidráulicos</x:v>
      </x:c>
      <x:c r="O179" s="43" t="str">
        <x:v>vedações em PU, PTFE puro ou carregado, NBR e FKM, dimensionadas conforme pressão, velocidade, fluido e temperatura</x:v>
      </x:c>
      <x:c r="P179" s="43" t="str">
        <x:v>apoiar reformas e montagens com peças não padronizadas, reposições antigas e fabricação rápida por amostra ou desenho</x:v>
      </x:c>
      <x:c r="Q179" s="43" t="str">
        <x:v>Segmento da base: Hidráulica/Vedações; localização: Novo Hamburgo/RS; contexto industrial regional usado apenas como hipótese comercial. Sem e-mail público localizado. Nenhuma afirmação sobre clientes ou aplicações específicas da empresa foi feita sem fonte.</x:v>
      </x:c>
      <x:c r="R179" s="43" t="str">
        <x:v>Baixa</x:v>
      </x:c>
      <x:c r="S179" s="43" t="str">
        <x:v>Sim</x:v>
      </x:c>
      <x:c r="T179" s="43" t="str">
        <x:v>Gaxetas, raspadores e anéis guia sob medida</x:v>
      </x:c>
      <x:c r="U179" s="43" t="str">
        <x:v>Olá, equipe da RS Vedações Hidráulicas e Pneumáticas,</x:v>
      </x:c>
      <x:c r="V179" s="43" t="str">
        <x:v>Olá, equipe da RS Vedações Hidráulicas e Pneumáticas,
A Parts Seals está ampliando parcerias com empresas técnicas do setor, e o perfil da RS Vedações Hidráulicas e Pneumáticas chamou nossa atenção pela atuação em hidráulica/vedações.
Em Novo Hamburgo/RS, cadeias como calçados, máquinas, borracha, plástico e manutenção industrial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NBR, PU e PTFE.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179" s="43" t="str">
        <x:v>Olá, equipe da RS Vedações Hidráulicas e Pneumáticas,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179" s="43" t="str">
        <x:v>Olá, equipe da RS Vedações Hidráulicas e Pneumáticas,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79" s="43" t="str">
        <x:v>Há cilindros ou equipamentos para os quais vocês têm dificuldade de localizar a vedação correta ou cumprir o prazo do cliente?</x:v>
      </x:c>
      <x:c r="Z179" s="43" t="str">
        <x:v>Este contato foi direcionado a um canal corporativo público por possível aderência entre as atividades das empresas. Para não receber novas mensagens da Parts Seals, responda com REMOVER.</x:v>
      </x:c>
      <x:c r="AA179" s="43" t="str">
        <x:v>Sem e-mail</x:v>
      </x:c>
      <x:c r="AB179" s="43" t="str">
        <x:v>Não</x:v>
      </x:c>
      <x:c r="AC179" s="44"/>
      <x:c r="AD179" s="44"/>
      <x:c r="AE179" s="44"/>
      <x:c r="AF179" s="44"/>
      <x:c r="AG179" s="43"/>
      <x:c r="AH179" s="43"/>
      <x:c r="AI179" s="43" t="str">
        <x:v>Não</x:v>
      </x:c>
      <x:c r="AJ179" s="43"/>
      <x:c r="AK179" s="43"/>
      <x:c r="AL179" s="43" t="str">
        <x:v>https://perfildaindustria.portaldaindustria.com.br/estado/tudo/rs</x:v>
      </x:c>
      <x:c r="AM179" s="43" t="str">
        <x:v>Não localizado em fonte pública confiável até 24/07/2026</x:v>
      </x:c>
      <x:c r="AN179" s="43" t="str">
        <x:v>Pesquise a empresa RS Vedações Hidráulicas e Pneumáticas, de Novo Hamburgo/RS,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79" s="43" t="str">
        <x:v>2026-07-24 v1</x:v>
      </x:c>
    </x:row>
    <x:row r="180" ht="72" customHeight="1">
      <x:c r="A180" s="43" t="n">
        <x:v>179</x:v>
      </x:c>
      <x:c r="B180" s="43" t="str">
        <x:v>Vedasinos Comércio Seals</x:v>
      </x:c>
      <x:c r="C180" s="43" t="str">
        <x:v>Vedações</x:v>
      </x:c>
      <x:c r="D180" s="43" t="str">
        <x:v>Novo Hamburgo</x:v>
      </x:c>
      <x:c r="E180" s="43" t="str">
        <x:v>RS</x:v>
      </x:c>
      <x:c r="F180" s="43" t="str">
        <x:v>Sul</x:v>
      </x:c>
      <x:c r="G180" s="43" t="str">
        <x:v>A - Alta</x:v>
      </x:c>
      <x:c r="H180" s="43" t="str">
        <x:v>Não contatado</x:v>
      </x:c>
      <x:c r="I180" s="43" t="str">
        <x:v>gerencia@vedasinos.com.br</x:v>
      </x:c>
      <x:c r="J180" s="43" t="str">
        <x:v>https://www.instagram.com/vedasinos/</x:v>
      </x:c>
      <x:c r="K180" s="43" t="str">
        <x:v>Sim</x:v>
      </x:c>
      <x:c r="L180" s="43" t="str">
        <x:v>especialista ou revenda de vedações industriais</x:v>
      </x:c>
      <x:c r="M180" s="43" t="str">
        <x:v>calçados, máquinas, borracha, plástico e manutenção industrial</x:v>
      </x:c>
      <x:c r="N180" s="43" t="str">
        <x:v>gaxetas, raspadores, anéis guia, vedações de haste e pistão, retentores especiais e reposições fora de linha</x:v>
      </x:c>
      <x:c r="O180" s="43" t="str">
        <x:v>peças sob medida em PTFE puro ou carregado, poliuretano, NBR, FKM, nylon e outros materiais técnicos</x:v>
      </x:c>
      <x:c r="P180" s="43" t="str">
        <x:v>complementar o portfólio com itens especiais, pequenas e médias séries, urgências e fabricação por desenho ou amostra</x:v>
      </x:c>
      <x:c r="Q180" s="43" t="str">
        <x:v>Segmento da base: Vedações; localização: Novo Hamburgo/RS; contexto industrial regional usado apenas como hipótese comercial. Contato publicado em perfil ou diretório institucional. Nenhuma afirmação sobre clientes ou aplicações específicas da empresa foi feita sem fonte.</x:v>
      </x:c>
      <x:c r="R180" s="43" t="str">
        <x:v>Moderada</x:v>
      </x:c>
      <x:c r="S180" s="43" t="str">
        <x:v>Sim</x:v>
      </x:c>
      <x:c r="T180" s="43" t="str">
        <x:v>Demandas fora de catálogo na Vedasinos Comércio Seals</x:v>
      </x:c>
      <x:c r="U180" s="43" t="str">
        <x:v>Olá, equipe da Vedasinos Comércio Seals,</x:v>
      </x:c>
      <x:c r="V180" s="43" t="str">
        <x:v>Olá, equipe da Vedasinos Comércio Seals,
Gostaria de apresentar uma possibilidade de apoio complementar à Vedasinos Comércio Seals para peças especiais, urgências e reposições fora de catálogo.
Em Novo Hamburgo/RS, cadeias como calçados, máquinas, borracha, plástico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e PTFE.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80" s="43" t="str">
        <x:v>Olá, equipe da Vedasinos Comércio Seals,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80" s="43" t="str">
        <x:v>Olá, equipe da Vedasinos Comércio Seals,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80" s="43" t="str">
        <x:v>Vocês recebem consultas de peças especiais que acabam sem atendimento por prazo, material, quantidade ou ausência de desenho?</x:v>
      </x:c>
      <x:c r="Z180" s="43" t="str">
        <x:v>Este contato foi direcionado a um canal corporativo público por possível aderência entre as atividades das empresas. Para não receber novas mensagens da Parts Seals, responda com REMOVER.</x:v>
      </x:c>
      <x:c r="AA180" s="43" t="str">
        <x:v>Aguardando aprovação</x:v>
      </x:c>
      <x:c r="AB180" s="43" t="str">
        <x:v>Não</x:v>
      </x:c>
      <x:c r="AC180" s="44"/>
      <x:c r="AD180" s="44"/>
      <x:c r="AE180" s="44"/>
      <x:c r="AF180" s="44"/>
      <x:c r="AG180" s="43"/>
      <x:c r="AH180" s="43"/>
      <x:c r="AI180" s="43" t="str">
        <x:v>Não</x:v>
      </x:c>
      <x:c r="AJ180" s="43"/>
      <x:c r="AK180" s="43"/>
      <x:c r="AL180" s="43" t="str">
        <x:v>https://perfildaindustria.portaldaindustria.com.br/estado/tudo/rs</x:v>
      </x:c>
      <x:c r="AM180" s="43" t="str">
        <x:v>https://www.instagram.com/vedasinos/</x:v>
      </x:c>
      <x:c r="AN180" s="43" t="str">
        <x:v>Pesquise a empresa Vedasinos Comércio Seals, de Novo Hamburgo/RS,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80" s="43" t="str">
        <x:v>2026-07-24 v1</x:v>
      </x:c>
    </x:row>
    <x:row r="181" ht="72" customHeight="1">
      <x:c r="A181" s="43" t="n">
        <x:v>180</x:v>
      </x:c>
      <x:c r="B181" s="43" t="str">
        <x:v>Valcron</x:v>
      </x:c>
      <x:c r="C181" s="43" t="str">
        <x:v>Hidráulica/Vedações</x:v>
      </x:c>
      <x:c r="D181" s="43" t="str">
        <x:v>Pelotas</x:v>
      </x:c>
      <x:c r="E181" s="43" t="str">
        <x:v>RS</x:v>
      </x:c>
      <x:c r="F181" s="43" t="str">
        <x:v>Sul</x:v>
      </x:c>
      <x:c r="G181" s="43" t="str">
        <x:v>A - Alta</x:v>
      </x:c>
      <x:c r="H181" s="43" t="str">
        <x:v>Não contatado</x:v>
      </x:c>
      <x:c r="I181" s="43" t="str">
        <x:v>fiscal@valcron.com.br</x:v>
      </x:c>
      <x:c r="J181" s="43" t="str">
        <x:v>https://portaldatransparencia.gov.br/contratos/1974267503/pessoa-juridica/91836494000102</x:v>
      </x:c>
      <x:c r="K181" s="43" t="str">
        <x:v>Sim</x:v>
      </x:c>
      <x:c r="L181" s="43" t="str">
        <x:v>fornecedor de componentes hidráulicos e vedações</x:v>
      </x:c>
      <x:c r="M181" s="43" t="str">
        <x:v>metalmecânico, máquinas, alimentos, automotivo e química</x:v>
      </x:c>
      <x:c r="N181" s="43" t="str">
        <x:v>gaxetas de haste e pistão, raspadores, anéis guia, vedações rotativas e kits para cilindros hidráulicos</x:v>
      </x:c>
      <x:c r="O181" s="43" t="str">
        <x:v>vedações em PU, PTFE puro ou carregado, NBR e FKM, dimensionadas conforme pressão, velocidade, fluido e temperatura</x:v>
      </x:c>
      <x:c r="P181" s="43" t="str">
        <x:v>apoiar reformas e montagens com peças não padronizadas, reposições antigas e fabricação rápida por amostra ou desenho</x:v>
      </x:c>
      <x:c r="Q181" s="43" t="str">
        <x:v>Segmento da base: Hidráulica/Vedações; localização: Pelotas/RS; contexto industrial regional usado apenas como hipótese comercial. Fonte pública associada à empresa. Nenhuma afirmação sobre clientes ou aplicações específicas da empresa foi feita sem fonte.</x:v>
      </x:c>
      <x:c r="R181" s="43" t="str">
        <x:v>Moderada</x:v>
      </x:c>
      <x:c r="S181" s="43" t="str">
        <x:v>Sim</x:v>
      </x:c>
      <x:c r="T181" s="43" t="str">
        <x:v>Vedações hidráulicas especiais para a Valcron</x:v>
      </x:c>
      <x:c r="U181" s="43" t="str">
        <x:v>Olá, equipe da Valcron,</x:v>
      </x:c>
      <x:c r="V181" s="43" t="str">
        <x:v>Olá, equipe da Valcron,
Estou entrando em contato porque a atuação da Valcron em hidráulica/vedações tem boa aderência ao tipo de fabricação especial que realizamos na Parts Seals.
Em Pelotas/RS, cadeias como metalmecânico, máquinas, alimentos, automotivo e química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PU, NBR,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181" s="43" t="str">
        <x:v>Olá, equipe da Valcron,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181" s="43" t="str">
        <x:v>Olá, equipe da Valcron,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81" s="43" t="str">
        <x:v>Há cilindros ou equipamentos para os quais vocês têm dificuldade de localizar a vedação correta ou cumprir o prazo do cliente?</x:v>
      </x:c>
      <x:c r="Z181" s="43" t="str">
        <x:v>Este contato foi direcionado a um canal corporativo público por possível aderência entre as atividades das empresas. Para não receber novas mensagens da Parts Seals, responda com REMOVER.</x:v>
      </x:c>
      <x:c r="AA181" s="43" t="str">
        <x:v>Aguardando aprovação</x:v>
      </x:c>
      <x:c r="AB181" s="43" t="str">
        <x:v>Não</x:v>
      </x:c>
      <x:c r="AC181" s="44"/>
      <x:c r="AD181" s="44"/>
      <x:c r="AE181" s="44"/>
      <x:c r="AF181" s="44"/>
      <x:c r="AG181" s="43"/>
      <x:c r="AH181" s="43"/>
      <x:c r="AI181" s="43" t="str">
        <x:v>Não</x:v>
      </x:c>
      <x:c r="AJ181" s="43"/>
      <x:c r="AK181" s="43"/>
      <x:c r="AL181" s="43" t="str">
        <x:v>https://perfildaindustria.portaldaindustria.com.br/estado/tudo/rs</x:v>
      </x:c>
      <x:c r="AM181" s="43" t="str">
        <x:v>https://portaldatransparencia.gov.br/contratos/1974267503/pessoa-juridica/91836494000102</x:v>
      </x:c>
      <x:c r="AN181" s="43" t="str">
        <x:v>Pesquise a empresa Valcron, de Pelotas/RS,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81" s="43" t="str">
        <x:v>2026-07-24 v1</x:v>
      </x:c>
    </x:row>
    <x:row r="182" ht="72" customHeight="1">
      <x:c r="A182" s="43" t="n">
        <x:v>181</x:v>
      </x:c>
      <x:c r="B182" s="43" t="str">
        <x:v>House of Gaskets</x:v>
      </x:c>
      <x:c r="C182" s="43" t="str">
        <x:v>Juntas/Vedações</x:v>
      </x:c>
      <x:c r="D182" s="43" t="str">
        <x:v>Porto Alegre</x:v>
      </x:c>
      <x:c r="E182" s="43" t="str">
        <x:v>RS</x:v>
      </x:c>
      <x:c r="F182" s="43" t="str">
        <x:v>Sul</x:v>
      </x:c>
      <x:c r="G182" s="43" t="str">
        <x:v>A - Alta</x:v>
      </x:c>
      <x:c r="H182" s="43" t="str">
        <x:v>Não contatado</x:v>
      </x:c>
      <x:c r="I182" s="43" t="str">
        <x:v>comercial@gaxetas.com.br</x:v>
      </x:c>
      <x:c r="J182" s="43" t="str">
        <x:v>https://gaxetas.com.br/sobre-nos/</x:v>
      </x:c>
      <x:c r="K182" s="43" t="str">
        <x:v>Sim</x:v>
      </x:c>
      <x:c r="L182" s="43" t="str">
        <x:v>fornecedor de juntas e vedações técnicas</x:v>
      </x:c>
      <x:c r="M182" s="43" t="str">
        <x:v>metalmecânico, alimentos, química, energia e manutenção industrial</x:v>
      </x:c>
      <x:c r="N182" s="43" t="str">
        <x:v>juntas planas, anéis, sedes, guias e componentes sujeitos a fluidos, temperatura e ataque químico</x:v>
      </x:c>
      <x:c r="O182" s="43" t="str">
        <x:v>juntas e componentes em PTFE puro ou carregado, NBR, FKM e materiais técnicos, conforme desenho</x:v>
      </x:c>
      <x:c r="P182" s="43" t="str">
        <x:v>atender geometrias especiais, pequenas séries e aplicações em que a seleção correta do material é decisiva</x:v>
      </x:c>
      <x:c r="Q182" s="43" t="str">
        <x:v>Segmento da base: Juntas/Vedações; localização: Porto Alegre/RS; contexto industrial regional usado apenas como hipótese comercial. Domínio do e-mail coincide com a fonte oficial. Nenhuma afirmação sobre clientes ou aplicações específicas da empresa foi feita sem fonte.</x:v>
      </x:c>
      <x:c r="R182" s="43" t="str">
        <x:v>Alta</x:v>
      </x:c>
      <x:c r="S182" s="43" t="str">
        <x:v>Recomendada</x:v>
      </x:c>
      <x:c r="T182" s="43" t="str">
        <x:v>Possível parceria técnica — House of Gaskets e Parts Seals</x:v>
      </x:c>
      <x:c r="U182" s="43" t="str">
        <x:v>Olá, equipe da House of Gaskets,</x:v>
      </x:c>
      <x:c r="V182" s="43" t="str">
        <x:v>Olá, equipe da House of Gaskets,
Ao analisar o perfil da House of Gaskets em Porto Alegre, identifiquei uma possibilidade de parceria para demandas de vedação que não se encaixam bem em linhas padronizadas.
Em Porto Alegre/RS, cadeias como metalmecânico, alimentos, química, energia e manutenção industrial costumam gerar solicitações de vedações especiais, principalmente quando há pressão, desgaste, ataque químico, temperatura ou dificuldade de reposição. Para o perfil de fornecedor de juntas e vedações técnicas, vemos maior aderência em juntas planas, anéis, sedes, guias e componentes sujeitos a fluidos, temperatura e ataque químico.
A Parts Seals pode apoiar com juntas e componentes em PTFE puro ou carregado, NBR, FKM e materiais técnicos, conforme desenho. A seleção final do material é validada conforme a aplicação; para as demandas mais comuns da região, vale avaliar especialmente NBR, PU, PTFE e FKM. Nosso objetivo é atender geometrias especiais, pequenas séries e aplicações em que a seleção correta do material é decisiva.
Há alguma junta ou componente especial que seus clientes pedem e que hoje exige terceirização ou prazo elevado?
Posso encaminhar uma apresentação curta ou avaliar um item real, sem compromisso?
Atenciosamente,
{{NOME_REMETENTE}}
Parts Seals Vedações Industriais
{{TELEFONE_REMETENTE}} | {{SITE_REMETENTE}}</x:v>
      </x:c>
      <x:c r="W182" s="43" t="str">
        <x:v>Olá, equipe da House of Gaskets,
Retomando meu contato: pelo perfil de juntas/vedações de vocês, acredito que podemos apoiar principalmente em juntas planas, anéis, sedes, guias e componentes sujeitos a fluidos, temperatura e ataque químico.
Se tiverem uma medida, desenho ou foto de um item difícil de localizar, podemos fazer uma análise inicial e indicar o material mais adequado. Há algum caso em aberto que possamos avaliar?
Atenciosamente,
{{NOME_REMETENTE}}
Parts Seals Vedações Industriais</x:v>
      </x:c>
      <x:c r="X182" s="43" t="str">
        <x:v>Olá, equipe da House of Gaskets,
Encerrando meu contato para não insistir. Caso surja alguma demanda de juntas planas, anéis, sedes, guias e componentes sujeitos a fluidos, temperatura e ataque químico,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82" s="43" t="str">
        <x:v>Há alguma junta ou componente especial que seus clientes pedem e que hoje exige terceirização ou prazo elevado?</x:v>
      </x:c>
      <x:c r="Z182" s="43" t="str">
        <x:v>Este contato foi direcionado a um canal corporativo público por possível aderência entre as atividades das empresas. Para não receber novas mensagens da Parts Seals, responda com REMOVER.</x:v>
      </x:c>
      <x:c r="AA182" s="43" t="str">
        <x:v>Aguardando aprovação</x:v>
      </x:c>
      <x:c r="AB182" s="43" t="str">
        <x:v>Não</x:v>
      </x:c>
      <x:c r="AC182" s="44"/>
      <x:c r="AD182" s="44"/>
      <x:c r="AE182" s="44"/>
      <x:c r="AF182" s="44"/>
      <x:c r="AG182" s="43"/>
      <x:c r="AH182" s="43"/>
      <x:c r="AI182" s="43" t="str">
        <x:v>Não</x:v>
      </x:c>
      <x:c r="AJ182" s="43"/>
      <x:c r="AK182" s="43"/>
      <x:c r="AL182" s="43" t="str">
        <x:v>https://perfildaindustria.portaldaindustria.com.br/estado/tudo/rs</x:v>
      </x:c>
      <x:c r="AM182" s="43" t="str">
        <x:v>https://gaxetas.com.br/sobre-nos/</x:v>
      </x:c>
      <x:c r="AN182" s="43" t="str">
        <x:v>Pesquise a empresa House of Gaskets, de Porto Alegre/RS,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82" s="43" t="str">
        <x:v>2026-07-24 v1</x:v>
      </x:c>
    </x:row>
    <x:row r="183" ht="72" customHeight="1">
      <x:c r="A183" s="43" t="n">
        <x:v>182</x:v>
      </x:c>
      <x:c r="B183" s="43" t="str">
        <x:v>Metalring</x:v>
      </x:c>
      <x:c r="C183" s="43" t="str">
        <x:v>Distribuidor AGEL/APC</x:v>
      </x:c>
      <x:c r="D183" s="43" t="str">
        <x:v>Porto Alegre</x:v>
      </x:c>
      <x:c r="E183" s="43" t="str">
        <x:v>RS</x:v>
      </x:c>
      <x:c r="F183" s="43" t="str">
        <x:v>Sul</x:v>
      </x:c>
      <x:c r="G183" s="43" t="str">
        <x:v>Sem dados - qualificar</x:v>
      </x:c>
      <x:c r="H183" s="43" t="str">
        <x:v>Não contatado</x:v>
      </x:c>
      <x:c r="I183" s="43"/>
      <x:c r="J183" s="43" t="str">
        <x:v>Não localizado em fonte pública confiável até 24/07/2026</x:v>
      </x:c>
      <x:c r="K183" s="43" t="str">
        <x:v>Não</x:v>
      </x:c>
      <x:c r="L183" s="43" t="str">
        <x:v>distribuidor de componentes e vedações de linha</x:v>
      </x:c>
      <x:c r="M183" s="43" t="str">
        <x:v>metalmecânico, alimentos, química, energia e manutenção industrial</x:v>
      </x:c>
      <x:c r="N183" s="43" t="str">
        <x:v>itens especiais, medidas fora de catálogo e reposições de manutenção</x:v>
      </x:c>
      <x:c r="O183" s="43" t="str">
        <x:v>vedações em PTFE, PU, NBR e FKM sob desenho ou amostra</x:v>
      </x:c>
      <x:c r="P183" s="43" t="str">
        <x:v>complementar as marcas distribuídas sem competir com os itens padronizados</x:v>
      </x:c>
      <x:c r="Q183" s="43" t="str">
        <x:v>Segmento da base: Distribuidor AGEL/APC; localização: Porto Alegre/RS; contexto industrial regional usado apenas como hipótese comercial. Sem e-mail público localizado. Nenhuma afirmação sobre clientes ou aplicações específicas da empresa foi feita sem fonte.</x:v>
      </x:c>
      <x:c r="R183" s="43" t="str">
        <x:v>Baixa</x:v>
      </x:c>
      <x:c r="S183" s="43" t="str">
        <x:v>Sim</x:v>
      </x:c>
      <x:c r="T183" s="43" t="str">
        <x:v>Apoio em vedações sob medida para a Metalring</x:v>
      </x:c>
      <x:c r="U183" s="43" t="str">
        <x:v>Olá, equipe da Metalring,</x:v>
      </x:c>
      <x:c r="V183" s="43" t="str">
        <x:v>Olá, equipe da Metalring,
A Parts Seals está ampliando parcerias com empresas técnicas do setor, e o perfil da Metalring chamou nossa atenção pela atuação em distribuidor agel/apc.
Em Porto Alegre/RS, cadeias como metalmecânico, alimentos, química, energia e manutenção industrial costumam gerar solicitações de vedações especiais, principalmente quando há pressão, desgaste, ataque químico, temperatura ou dificuldade de reposição. Para o perfil de distribuidor de componentes e vedações de linha, vemos maior aderência em itens especiais, medidas fora de catálogo e reposições de manutenção.
A Parts Seals pode apoiar com vedações em PTFE, PU, NBR e FKM sob desenho ou amostra. A seleção final do material é validada conforme a aplicação; para as demandas mais comuns da região, vale avaliar especialmente NBR, PU, PTFE e FKM. Nosso objetivo é complementar as marcas distribuídas sem competir com os itens padronizados.
Quais itens especiais aparecem com mais frequência fora das linhas que vocês distribuem?
Posso encaminhar uma apresentação curta ou avaliar um item real, sem compromisso?
Atenciosamente,
{{NOME_REMETENTE}}
Parts Seals Vedações Industriais
{{TELEFONE_REMETENTE}} | {{SITE_REMETENTE}}</x:v>
      </x:c>
      <x:c r="W183" s="43" t="str">
        <x:v>Olá, equipe da Metalring,
Retomando meu contato: pelo perfil de distribuidor agel/apc de vocês, acredito que podemos apoiar principalmente em itens especiais, medidas fora de catálogo e reposições de manutenção.
Se tiverem uma medida, desenho ou foto de um item difícil de localizar, podemos fazer uma análise inicial e indicar o material mais adequado. Há algum caso em aberto que possamos avaliar?
Atenciosamente,
{{NOME_REMETENTE}}
Parts Seals Vedações Industriais</x:v>
      </x:c>
      <x:c r="X183" s="43" t="str">
        <x:v>Olá, equipe da Metalring,
Encerrando meu contato para não insistir. Caso surja alguma demanda de itens especiais, medidas fora de catálogo e reposições de manutenção,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83" s="43" t="str">
        <x:v>Quais itens especiais aparecem com mais frequência fora das linhas que vocês distribuem?</x:v>
      </x:c>
      <x:c r="Z183" s="43" t="str">
        <x:v>Este contato foi direcionado a um canal corporativo público por possível aderência entre as atividades das empresas. Para não receber novas mensagens da Parts Seals, responda com REMOVER.</x:v>
      </x:c>
      <x:c r="AA183" s="43" t="str">
        <x:v>Sem e-mail</x:v>
      </x:c>
      <x:c r="AB183" s="43" t="str">
        <x:v>Não</x:v>
      </x:c>
      <x:c r="AC183" s="44"/>
      <x:c r="AD183" s="44"/>
      <x:c r="AE183" s="44"/>
      <x:c r="AF183" s="44"/>
      <x:c r="AG183" s="43"/>
      <x:c r="AH183" s="43"/>
      <x:c r="AI183" s="43" t="str">
        <x:v>Não</x:v>
      </x:c>
      <x:c r="AJ183" s="43"/>
      <x:c r="AK183" s="43"/>
      <x:c r="AL183" s="43" t="str">
        <x:v>https://perfildaindustria.portaldaindustria.com.br/estado/tudo/rs</x:v>
      </x:c>
      <x:c r="AM183" s="43" t="str">
        <x:v>Não localizado em fonte pública confiável até 24/07/2026</x:v>
      </x:c>
      <x:c r="AN183" s="43" t="str">
        <x:v>Pesquise a empresa Metalring, de Porto Alegre/RS,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83" s="43" t="str">
        <x:v>2026-07-24 v1</x:v>
      </x:c>
    </x:row>
    <x:row r="184" ht="72" customHeight="1">
      <x:c r="A184" s="43" t="n">
        <x:v>183</x:v>
      </x:c>
      <x:c r="B184" s="43" t="str">
        <x:v>Porto Vedações</x:v>
      </x:c>
      <x:c r="C184" s="43" t="str">
        <x:v>Distribuidor Vedabrás/Joinseal</x:v>
      </x:c>
      <x:c r="D184" s="43" t="str">
        <x:v>Porto Alegre</x:v>
      </x:c>
      <x:c r="E184" s="43" t="str">
        <x:v>RS</x:v>
      </x:c>
      <x:c r="F184" s="43" t="str">
        <x:v>Sul</x:v>
      </x:c>
      <x:c r="G184" s="43" t="str">
        <x:v>Sem dados - qualificar</x:v>
      </x:c>
      <x:c r="H184" s="43" t="str">
        <x:v>Não contatado</x:v>
      </x:c>
      <x:c r="I184" s="43"/>
      <x:c r="J184" s="43" t="str">
        <x:v>Não localizado em fonte pública confiável até 24/07/2026</x:v>
      </x:c>
      <x:c r="K184" s="43" t="str">
        <x:v>Não</x:v>
      </x:c>
      <x:c r="L184" s="43" t="str">
        <x:v>distribuidor de vedações e componentes de linha</x:v>
      </x:c>
      <x:c r="M184" s="43" t="str">
        <x:v>metalmecânico, alimentos, química, energia e manutenção industrial</x:v>
      </x:c>
      <x:c r="N184" s="43" t="str">
        <x:v>itens especiais, medidas fora de catálogo, kits e reposições industriais</x:v>
      </x:c>
      <x:c r="O184" s="43" t="str">
        <x:v>peças em PTFE, PU, NBR e FKM sob desenho ou amostra</x:v>
      </x:c>
      <x:c r="P184" s="43" t="str">
        <x:v>complementar as linhas distribuídas com fabricação especial e baixa quantidade</x:v>
      </x:c>
      <x:c r="Q184" s="43" t="str">
        <x:v>Segmento da base: Distribuidor Vedabrás/Joinseal; localização: Porto Alegre/RS; contexto industrial regional usado apenas como hipótese comercial. Sem e-mail público localizado. Nenhuma afirmação sobre clientes ou aplicações específicas da empresa foi feita sem fonte.</x:v>
      </x:c>
      <x:c r="R184" s="43" t="str">
        <x:v>Baixa</x:v>
      </x:c>
      <x:c r="S184" s="43" t="str">
        <x:v>Sim</x:v>
      </x:c>
      <x:c r="T184" s="43" t="str">
        <x:v>Demandas fora de catálogo na Porto Vedações</x:v>
      </x:c>
      <x:c r="U184" s="43" t="str">
        <x:v>Olá, equipe da Porto Vedações,</x:v>
      </x:c>
      <x:c r="V184" s="43" t="str">
        <x:v>Olá, equipe da Porto Vedações,
Gostaria de apresentar uma possibilidade de apoio complementar à Porto Vedações para peças especiais, urgências e reposições fora de catálogo.
Em Porto Alegre/RS, cadeias como metalmecânico, alimentos, química, energia e manutenção industrial costumam gerar solicitações de vedações especiais, principalmente quando há pressão, desgaste, ataque químico, temperatura ou dificuldade de reposição. Para o perfil de distribuidor de vedações e componentes de linha, vemos maior aderência em itens especiais, medidas fora de catálogo, kits e reposições industriais.
A Parts Seals pode apoiar com peças em PTFE, PU, NBR e FKM sob desenho ou amostra. A seleção final do material é validada conforme a aplicação; para as demandas mais comuns da região, vale avaliar especialmente NBR, PU, PTFE e FKM. Nosso objetivo é complementar as linhas distribuídas com fabricação especial e baixa quantidade.
Quais demandas especiais ficam sem solução nas linhas padronizadas que vocês trabalham?
Posso encaminhar uma apresentação curta ou avaliar um item real, sem compromisso?
Atenciosamente,
{{NOME_REMETENTE}}
Parts Seals Vedações Industriais
{{TELEFONE_REMETENTE}} | {{SITE_REMETENTE}}</x:v>
      </x:c>
      <x:c r="W184" s="43" t="str">
        <x:v>Olá, equipe da Porto Vedações,
Retomando meu contato: pelo perfil de distribuidor vedabrás/joinseal de vocês, acredito que podemos apoiar principalmente em itens especiais, medidas fora de catálogo, kits e reposições industriais.
Se tiverem uma medida, desenho ou foto de um item difícil de localizar, podemos fazer uma análise inicial e indicar o material mais adequado. Há algum caso em aberto que possamos avaliar?
Atenciosamente,
{{NOME_REMETENTE}}
Parts Seals Vedações Industriais</x:v>
      </x:c>
      <x:c r="X184" s="43" t="str">
        <x:v>Olá, equipe da Porto Vedações,
Encerrando meu contato para não insistir. Caso surja alguma demanda de itens especiais, medidas fora de catálogo, kits e reposições industriais,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84" s="43" t="str">
        <x:v>Quais demandas especiais ficam sem solução nas linhas padronizadas que vocês trabalham?</x:v>
      </x:c>
      <x:c r="Z184" s="43" t="str">
        <x:v>Este contato foi direcionado a um canal corporativo público por possível aderência entre as atividades das empresas. Para não receber novas mensagens da Parts Seals, responda com REMOVER.</x:v>
      </x:c>
      <x:c r="AA184" s="43" t="str">
        <x:v>Sem e-mail</x:v>
      </x:c>
      <x:c r="AB184" s="43" t="str">
        <x:v>Não</x:v>
      </x:c>
      <x:c r="AC184" s="44"/>
      <x:c r="AD184" s="44"/>
      <x:c r="AE184" s="44"/>
      <x:c r="AF184" s="44"/>
      <x:c r="AG184" s="43"/>
      <x:c r="AH184" s="43"/>
      <x:c r="AI184" s="43" t="str">
        <x:v>Não</x:v>
      </x:c>
      <x:c r="AJ184" s="43"/>
      <x:c r="AK184" s="43"/>
      <x:c r="AL184" s="43" t="str">
        <x:v>https://perfildaindustria.portaldaindustria.com.br/estado/tudo/rs</x:v>
      </x:c>
      <x:c r="AM184" s="43" t="str">
        <x:v>Não localizado em fonte pública confiável até 24/07/2026</x:v>
      </x:c>
      <x:c r="AN184" s="43" t="str">
        <x:v>Pesquise a empresa Porto Vedações, de Porto Alegre/RS,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84" s="43" t="str">
        <x:v>2026-07-24 v1</x:v>
      </x:c>
    </x:row>
    <x:row r="185" ht="72" customHeight="1">
      <x:c r="A185" s="43" t="n">
        <x:v>184</x:v>
      </x:c>
      <x:c r="B185" s="43" t="str">
        <x:v>RSSEAL Vedações</x:v>
      </x:c>
      <x:c r="C185" s="43" t="str">
        <x:v>Fabricante/Vedações</x:v>
      </x:c>
      <x:c r="D185" s="43" t="str">
        <x:v>Porto Alegre</x:v>
      </x:c>
      <x:c r="E185" s="43" t="str">
        <x:v>RS</x:v>
      </x:c>
      <x:c r="F185" s="43" t="str">
        <x:v>Sul</x:v>
      </x:c>
      <x:c r="G185" s="43" t="str">
        <x:v>A - Alta</x:v>
      </x:c>
      <x:c r="H185" s="43" t="str">
        <x:v>Não contatado</x:v>
      </x:c>
      <x:c r="I185" s="43" t="str">
        <x:v>vendas1@rssealvedacoes.com.br</x:v>
      </x:c>
      <x:c r="J185" s="43" t="str">
        <x:v>https://rssealvedacoes.com.br/</x:v>
      </x:c>
      <x:c r="K185" s="43" t="str">
        <x:v>Sim</x:v>
      </x:c>
      <x:c r="L185" s="43" t="str">
        <x:v>fabricante ou transformador especializado em vedações</x:v>
      </x:c>
      <x:c r="M185" s="43" t="str">
        <x:v>metalmecânico, alimentos, química, energia e manutenção industrial</x:v>
      </x:c>
      <x:c r="N185" s="43" t="str">
        <x:v>itens fora de padrão, picos de demanda, protótipos, reposições urgentes e lotes que exigem processo ou material específico</x:v>
      </x:c>
      <x:c r="O185" s="43" t="str">
        <x:v>componentes usinados e moldados em PTFE puro ou carregado, PU, NBR, FKM e materiais técnicos, conforme desenho ou amostra</x:v>
      </x:c>
      <x:c r="P185" s="43" t="str">
        <x:v>atuar como apoio produtivo complementar, preservando a relação comercial de vocês com o cliente final</x:v>
      </x:c>
      <x:c r="Q185" s="43" t="str">
        <x:v>Segmento da base: Fabricante/Vedações; localização: Porto Alegre/RS; contexto industrial regional usado apenas como hipótese comercial. Domínio do e-mail coincide com a fonte oficial. Nenhuma afirmação sobre clientes ou aplicações específicas da empresa foi feita sem fonte.</x:v>
      </x:c>
      <x:c r="R185" s="43" t="str">
        <x:v>Alta</x:v>
      </x:c>
      <x:c r="S185" s="43" t="str">
        <x:v>Recomendada</x:v>
      </x:c>
      <x:c r="T185" s="43" t="str">
        <x:v>Apoio produtivo para itens especiais — RSSEAL Vedações</x:v>
      </x:c>
      <x:c r="U185" s="43" t="str">
        <x:v>Olá, equipe da RSSEAL Vedações,</x:v>
      </x:c>
      <x:c r="V185" s="43" t="str">
        <x:v>Olá, equipe da RSSEAL Vedações,
Estou entrando em contato porque a atuação da RSSEAL Vedações em fabricante/vedações tem boa aderência ao tipo de fabricação especial que realizamos na Parts Seals.
Em Porto Alegre/RS, cadeias como metalmecânico, alimentos, química, energia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NBR, PU,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185" s="43" t="str">
        <x:v>Olá, equipe da RSSEAL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185" s="43" t="str">
        <x:v>Olá, equipe da RSSEAL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85" s="43" t="str">
        <x:v>Existe hoje algum item especial, urgente ou de baixa quantidade que esteja ocupando capacidade ou ficando sem atendimento?</x:v>
      </x:c>
      <x:c r="Z185" s="43" t="str">
        <x:v>Este contato foi direcionado a um canal corporativo público por possível aderência entre as atividades das empresas. Para não receber novas mensagens da Parts Seals, responda com REMOVER.</x:v>
      </x:c>
      <x:c r="AA185" s="43" t="str">
        <x:v>Aguardando aprovação</x:v>
      </x:c>
      <x:c r="AB185" s="43" t="str">
        <x:v>Não</x:v>
      </x:c>
      <x:c r="AC185" s="44"/>
      <x:c r="AD185" s="44"/>
      <x:c r="AE185" s="44"/>
      <x:c r="AF185" s="44"/>
      <x:c r="AG185" s="43"/>
      <x:c r="AH185" s="43"/>
      <x:c r="AI185" s="43" t="str">
        <x:v>Não</x:v>
      </x:c>
      <x:c r="AJ185" s="43"/>
      <x:c r="AK185" s="43"/>
      <x:c r="AL185" s="43" t="str">
        <x:v>https://perfildaindustria.portaldaindustria.com.br/estado/tudo/rs</x:v>
      </x:c>
      <x:c r="AM185" s="43" t="str">
        <x:v>https://rssealvedacoes.com.br/</x:v>
      </x:c>
      <x:c r="AN185" s="43" t="str">
        <x:v>Pesquise a empresa RSSEAL Vedações, de Porto Alegre/RS,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85" s="43" t="str">
        <x:v>2026-07-24 v1</x:v>
      </x:c>
    </x:row>
    <x:row r="186" ht="72" customHeight="1">
      <x:c r="A186" s="43" t="n">
        <x:v>185</x:v>
      </x:c>
      <x:c r="B186" s="43" t="str">
        <x:v>Veda Fix</x:v>
      </x:c>
      <x:c r="C186" s="43" t="str">
        <x:v>Vedações</x:v>
      </x:c>
      <x:c r="D186" s="43" t="str">
        <x:v>Porto Alegre</x:v>
      </x:c>
      <x:c r="E186" s="43" t="str">
        <x:v>RS</x:v>
      </x:c>
      <x:c r="F186" s="43" t="str">
        <x:v>Sul</x:v>
      </x:c>
      <x:c r="G186" s="43" t="str">
        <x:v>A - Alta</x:v>
      </x:c>
      <x:c r="H186" s="43" t="str">
        <x:v>Não contatado</x:v>
      </x:c>
      <x:c r="I186" s="43" t="str">
        <x:v>vedafix@terra.com.br</x:v>
      </x:c>
      <x:c r="J186" s="43" t="str">
        <x:v>https://carabinasdear.com.br/caforum/index.php?/topic/530-órings/</x:v>
      </x:c>
      <x:c r="K186" s="43" t="str">
        <x:v>Sim</x:v>
      </x:c>
      <x:c r="L186" s="43" t="str">
        <x:v>especialista ou revenda de vedações industriais</x:v>
      </x:c>
      <x:c r="M186" s="43" t="str">
        <x:v>metalmecânico, alimentos, química, energia e manutenção industrial</x:v>
      </x:c>
      <x:c r="N186" s="43" t="str">
        <x:v>gaxetas, raspadores, anéis guia, vedações de haste e pistão, retentores especiais e reposições fora de linha</x:v>
      </x:c>
      <x:c r="O186" s="43" t="str">
        <x:v>peças sob medida em PTFE puro ou carregado, poliuretano, NBR, FKM, nylon e outros materiais técnicos</x:v>
      </x:c>
      <x:c r="P186" s="43" t="str">
        <x:v>complementar o portfólio com itens especiais, pequenas e médias séries, urgências e fabricação por desenho ou amostra</x:v>
      </x:c>
      <x:c r="Q186" s="43" t="str">
        <x:v>Segmento da base: Vedações; localização: Porto Alegre/RS; contexto industrial regional usado apenas como hipótese comercial. Fonte pública associada à empresa. Nenhuma afirmação sobre clientes ou aplicações específicas da empresa foi feita sem fonte.</x:v>
      </x:c>
      <x:c r="R186" s="43" t="str">
        <x:v>Moderada</x:v>
      </x:c>
      <x:c r="S186" s="43" t="str">
        <x:v>Sim</x:v>
      </x:c>
      <x:c r="T186" s="43" t="str">
        <x:v>Possível parceria técnica — Veda Fix e Parts Seals</x:v>
      </x:c>
      <x:c r="U186" s="43" t="str">
        <x:v>Olá, equipe da Veda Fix,</x:v>
      </x:c>
      <x:c r="V186" s="43" t="str">
        <x:v>Olá, equipe da Veda Fix,
Ao analisar o perfil da Veda Fix em Porto Alegre, identifiquei uma possibilidade de parceria para demandas de vedação que não se encaixam bem em linhas padronizadas.
Em Porto Alegre/RS, cadeias como metalmecânico, alimentos, química, energia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86" s="43" t="str">
        <x:v>Olá, equipe da Veda Fix,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86" s="43" t="str">
        <x:v>Olá, equipe da Veda Fix,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86" s="43" t="str">
        <x:v>Vocês recebem consultas de peças especiais que acabam sem atendimento por prazo, material, quantidade ou ausência de desenho?</x:v>
      </x:c>
      <x:c r="Z186" s="43" t="str">
        <x:v>Este contato foi direcionado a um canal corporativo público por possível aderência entre as atividades das empresas. Para não receber novas mensagens da Parts Seals, responda com REMOVER.</x:v>
      </x:c>
      <x:c r="AA186" s="43" t="str">
        <x:v>Aguardando aprovação</x:v>
      </x:c>
      <x:c r="AB186" s="43" t="str">
        <x:v>Não</x:v>
      </x:c>
      <x:c r="AC186" s="44"/>
      <x:c r="AD186" s="44"/>
      <x:c r="AE186" s="44"/>
      <x:c r="AF186" s="44"/>
      <x:c r="AG186" s="43"/>
      <x:c r="AH186" s="43"/>
      <x:c r="AI186" s="43" t="str">
        <x:v>Não</x:v>
      </x:c>
      <x:c r="AJ186" s="43"/>
      <x:c r="AK186" s="43"/>
      <x:c r="AL186" s="43" t="str">
        <x:v>https://perfildaindustria.portaldaindustria.com.br/estado/tudo/rs</x:v>
      </x:c>
      <x:c r="AM186" s="43" t="str">
        <x:v>https://carabinasdear.com.br/caforum/index.php?/topic/530-órings/</x:v>
      </x:c>
      <x:c r="AN186" s="43" t="str">
        <x:v>Pesquise a empresa Veda Fix, de Porto Alegre/RS,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86" s="43" t="str">
        <x:v>2026-07-24 v1</x:v>
      </x:c>
    </x:row>
    <x:row r="187" ht="72" customHeight="1">
      <x:c r="A187" s="43" t="n">
        <x:v>186</x:v>
      </x:c>
      <x:c r="B187" s="43" t="str">
        <x:v>Vedasul Vedações Industriais</x:v>
      </x:c>
      <x:c r="C187" s="43" t="str">
        <x:v>Vedações</x:v>
      </x:c>
      <x:c r="D187" s="43" t="str">
        <x:v>Porto Alegre</x:v>
      </x:c>
      <x:c r="E187" s="43" t="str">
        <x:v>RS</x:v>
      </x:c>
      <x:c r="F187" s="43" t="str">
        <x:v>Sul</x:v>
      </x:c>
      <x:c r="G187" s="43" t="str">
        <x:v>B - Média</x:v>
      </x:c>
      <x:c r="H187" s="43" t="str">
        <x:v>Não contatado</x:v>
      </x:c>
      <x:c r="I187" s="43"/>
      <x:c r="J187" s="43" t="str">
        <x:v>Não localizado em fonte pública confiável até 24/07/2026</x:v>
      </x:c>
      <x:c r="K187" s="43" t="str">
        <x:v>Não</x:v>
      </x:c>
      <x:c r="L187" s="43" t="str">
        <x:v>especialista ou revenda de vedações industriais</x:v>
      </x:c>
      <x:c r="M187" s="43" t="str">
        <x:v>metalmecânico, alimentos, química, energia e manutenção industrial</x:v>
      </x:c>
      <x:c r="N187" s="43" t="str">
        <x:v>gaxetas, raspadores, anéis guia, vedações de haste e pistão, retentores especiais e reposições fora de linha</x:v>
      </x:c>
      <x:c r="O187" s="43" t="str">
        <x:v>peças sob medida em PTFE puro ou carregado, poliuretano, NBR, FKM, nylon e outros materiais técnicos</x:v>
      </x:c>
      <x:c r="P187" s="43" t="str">
        <x:v>complementar o portfólio com itens especiais, pequenas e médias séries, urgências e fabricação por desenho ou amostra</x:v>
      </x:c>
      <x:c r="Q187" s="43" t="str">
        <x:v>Segmento da base: Vedações; localização: Porto Alegre/RS; contexto industrial regional usado apenas como hipótese comercial. Sem e-mail público localizado. Nenhuma afirmação sobre clientes ou aplicações específicas da empresa foi feita sem fonte.</x:v>
      </x:c>
      <x:c r="R187" s="43" t="str">
        <x:v>Baixa</x:v>
      </x:c>
      <x:c r="S187" s="43" t="str">
        <x:v>Sim</x:v>
      </x:c>
      <x:c r="T187" s="43" t="str">
        <x:v>Apoio em vedações sob medida para a Vedasul Vedações Industriais</x:v>
      </x:c>
      <x:c r="U187" s="43" t="str">
        <x:v>Olá, equipe da Vedasul Vedações Industriais,</x:v>
      </x:c>
      <x:c r="V187" s="43" t="str">
        <x:v>Olá, equipe da Vedasul Vedações Industriais,
A Parts Seals está ampliando parcerias com empresas técnicas do setor, e o perfil da Vedasul Vedações Industriais chamou nossa atenção pela atuação em vedações.
Em Porto Alegre/RS, cadeias como metalmecânico, alimentos, química, energia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87" s="43" t="str">
        <x:v>Olá, equipe da Vedasul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87" s="43" t="str">
        <x:v>Olá, equipe da Vedasul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87" s="43" t="str">
        <x:v>Vocês recebem consultas de peças especiais que acabam sem atendimento por prazo, material, quantidade ou ausência de desenho?</x:v>
      </x:c>
      <x:c r="Z187" s="43" t="str">
        <x:v>Este contato foi direcionado a um canal corporativo público por possível aderência entre as atividades das empresas. Para não receber novas mensagens da Parts Seals, responda com REMOVER.</x:v>
      </x:c>
      <x:c r="AA187" s="43" t="str">
        <x:v>Sem e-mail</x:v>
      </x:c>
      <x:c r="AB187" s="43" t="str">
        <x:v>Não</x:v>
      </x:c>
      <x:c r="AC187" s="44"/>
      <x:c r="AD187" s="44"/>
      <x:c r="AE187" s="44"/>
      <x:c r="AF187" s="44"/>
      <x:c r="AG187" s="43"/>
      <x:c r="AH187" s="43"/>
      <x:c r="AI187" s="43" t="str">
        <x:v>Não</x:v>
      </x:c>
      <x:c r="AJ187" s="43"/>
      <x:c r="AK187" s="43"/>
      <x:c r="AL187" s="43" t="str">
        <x:v>https://perfildaindustria.portaldaindustria.com.br/estado/tudo/rs</x:v>
      </x:c>
      <x:c r="AM187" s="43" t="str">
        <x:v>Não localizado em fonte pública confiável até 24/07/2026</x:v>
      </x:c>
      <x:c r="AN187" s="43" t="str">
        <x:v>Pesquise a empresa Vedasul Vedações Industriais, de Porto Alegre/RS,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87" s="43" t="str">
        <x:v>2026-07-24 v1</x:v>
      </x:c>
    </x:row>
    <x:row r="188" ht="72" customHeight="1">
      <x:c r="A188" s="43" t="n">
        <x:v>187</x:v>
      </x:c>
      <x:c r="B188" s="43" t="str">
        <x:v>Amorim Vedações</x:v>
      </x:c>
      <x:c r="C188" s="43" t="str">
        <x:v>Vedações</x:v>
      </x:c>
      <x:c r="D188" s="43" t="str">
        <x:v>Blumenau</x:v>
      </x:c>
      <x:c r="E188" s="43" t="str">
        <x:v>SC</x:v>
      </x:c>
      <x:c r="F188" s="43" t="str">
        <x:v>Sul</x:v>
      </x:c>
      <x:c r="G188" s="43" t="str">
        <x:v>C - Baixa</x:v>
      </x:c>
      <x:c r="H188" s="43" t="str">
        <x:v>Não contatado</x:v>
      </x:c>
      <x:c r="I188" s="43"/>
      <x:c r="J188" s="43" t="str">
        <x:v>Não localizado em fonte pública confiável até 24/07/2026</x:v>
      </x:c>
      <x:c r="K188" s="43" t="str">
        <x:v>Não</x:v>
      </x:c>
      <x:c r="L188" s="43" t="str">
        <x:v>especialista ou revenda de vedações industriais</x:v>
      </x:c>
      <x:c r="M188" s="43" t="str">
        <x:v>têxtil, máquinas, alimentos, plástico e manutenção industrial</x:v>
      </x:c>
      <x:c r="N188" s="43" t="str">
        <x:v>gaxetas, raspadores, anéis guia, vedações de haste e pistão, retentores especiais e reposições fora de linha</x:v>
      </x:c>
      <x:c r="O188" s="43" t="str">
        <x:v>peças sob medida em PTFE puro ou carregado, poliuretano, NBR, FKM, nylon e outros materiais técnicos</x:v>
      </x:c>
      <x:c r="P188" s="43" t="str">
        <x:v>complementar o portfólio com itens especiais, pequenas e médias séries, urgências e fabricação por desenho ou amostra</x:v>
      </x:c>
      <x:c r="Q188" s="43" t="str">
        <x:v>Segmento da base: Vedações; localização: Blumenau/SC; contexto industrial regional usado apenas como hipótese comercial. Sem e-mail público localizado. Nenhuma afirmação sobre clientes ou aplicações específicas da empresa foi feita sem fonte.</x:v>
      </x:c>
      <x:c r="R188" s="43" t="str">
        <x:v>Baixa</x:v>
      </x:c>
      <x:c r="S188" s="43" t="str">
        <x:v>Sim</x:v>
      </x:c>
      <x:c r="T188" s="43" t="str">
        <x:v>Demandas fora de catálogo na Amorim Vedações</x:v>
      </x:c>
      <x:c r="U188" s="43" t="str">
        <x:v>Olá, equipe da Amorim Vedações,</x:v>
      </x:c>
      <x:c r="V188" s="43" t="str">
        <x:v>Olá, equipe da Amorim Vedações,
Gostaria de apresentar uma possibilidade de apoio complementar à Amorim Vedações para peças especiais, urgências e reposições fora de catálogo.
Em Blumenau/SC, cadeias como têxtil, máquinas, alimentos, plástico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88" s="43" t="str">
        <x:v>Olá, equipe da Amorim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88" s="43" t="str">
        <x:v>Olá, equipe da Amorim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88" s="43" t="str">
        <x:v>Vocês recebem consultas de peças especiais que acabam sem atendimento por prazo, material, quantidade ou ausência de desenho?</x:v>
      </x:c>
      <x:c r="Z188" s="43" t="str">
        <x:v>Este contato foi direcionado a um canal corporativo público por possível aderência entre as atividades das empresas. Para não receber novas mensagens da Parts Seals, responda com REMOVER.</x:v>
      </x:c>
      <x:c r="AA188" s="43" t="str">
        <x:v>Sem e-mail</x:v>
      </x:c>
      <x:c r="AB188" s="43" t="str">
        <x:v>Não</x:v>
      </x:c>
      <x:c r="AC188" s="44"/>
      <x:c r="AD188" s="44"/>
      <x:c r="AE188" s="44"/>
      <x:c r="AF188" s="44"/>
      <x:c r="AG188" s="43"/>
      <x:c r="AH188" s="43"/>
      <x:c r="AI188" s="43" t="str">
        <x:v>Não</x:v>
      </x:c>
      <x:c r="AJ188" s="43"/>
      <x:c r="AK188" s="43"/>
      <x:c r="AL188" s="43" t="str">
        <x:v>https://perfildaindustria.portaldaindustria.com.br/estado/tudo/sc</x:v>
      </x:c>
      <x:c r="AM188" s="43" t="str">
        <x:v>Não localizado em fonte pública confiável até 24/07/2026</x:v>
      </x:c>
      <x:c r="AN188" s="43" t="str">
        <x:v>Pesquise a empresa Amorim Vedações, de Blumenau/SC,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88" s="43" t="str">
        <x:v>2026-07-24 v1</x:v>
      </x:c>
    </x:row>
    <x:row r="189" ht="72" customHeight="1">
      <x:c r="A189" s="43" t="n">
        <x:v>188</x:v>
      </x:c>
      <x:c r="B189" s="43" t="str">
        <x:v>SmierVeda Blumenau</x:v>
      </x:c>
      <x:c r="C189" s="43" t="str">
        <x:v>Vedações</x:v>
      </x:c>
      <x:c r="D189" s="43" t="str">
        <x:v>Blumenau</x:v>
      </x:c>
      <x:c r="E189" s="43" t="str">
        <x:v>SC</x:v>
      </x:c>
      <x:c r="F189" s="43" t="str">
        <x:v>Sul</x:v>
      </x:c>
      <x:c r="G189" s="43" t="str">
        <x:v>A - Alta</x:v>
      </x:c>
      <x:c r="H189" s="43" t="str">
        <x:v>Não contatado</x:v>
      </x:c>
      <x:c r="I189" s="43" t="str">
        <x:v>smierveda@smierveda.com.br</x:v>
      </x:c>
      <x:c r="J189" s="43" t="str">
        <x:v>https://www.smierveda.com.br/fale-conosco/</x:v>
      </x:c>
      <x:c r="K189" s="43" t="str">
        <x:v>Sim</x:v>
      </x:c>
      <x:c r="L189" s="43" t="str">
        <x:v>especialista ou revenda de vedações industriais</x:v>
      </x:c>
      <x:c r="M189" s="43" t="str">
        <x:v>têxtil, máquinas, alimentos, plástico e manutenção industrial</x:v>
      </x:c>
      <x:c r="N189" s="43" t="str">
        <x:v>gaxetas, raspadores, anéis guia, vedações de haste e pistão, retentores especiais e reposições fora de linha</x:v>
      </x:c>
      <x:c r="O189" s="43" t="str">
        <x:v>peças sob medida em PTFE puro ou carregado, poliuretano, NBR, FKM, nylon e outros materiais técnicos</x:v>
      </x:c>
      <x:c r="P189" s="43" t="str">
        <x:v>complementar o portfólio com itens especiais, pequenas e médias séries, urgências e fabricação por desenho ou amostra</x:v>
      </x:c>
      <x:c r="Q189" s="43" t="str">
        <x:v>Segmento da base: Vedações; localização: Blumenau/SC; contexto industrial regional usado apenas como hipótese comercial. Domínio do e-mail coincide com a fonte oficial. Nenhuma afirmação sobre clientes ou aplicações específicas da empresa foi feita sem fonte.</x:v>
      </x:c>
      <x:c r="R189" s="43" t="str">
        <x:v>Alta</x:v>
      </x:c>
      <x:c r="S189" s="43" t="str">
        <x:v>Recomendada</x:v>
      </x:c>
      <x:c r="T189" s="43" t="str">
        <x:v>Peças especiais para complementar o atendimento da SmierVeda Blumenau</x:v>
      </x:c>
      <x:c r="U189" s="43" t="str">
        <x:v>Olá, equipe da SmierVeda Blumenau,</x:v>
      </x:c>
      <x:c r="V189" s="43" t="str">
        <x:v>Olá, equipe da SmierVeda Blumenau,
Estou entrando em contato porque a atuação da SmierVeda Blumenau em vedações tem boa aderência ao tipo de fabricação especial que realizamos na Parts Seals.
Em Blumenau/SC, cadeias como têxtil, máquinas, alimentos, plástico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89" s="43" t="str">
        <x:v>Olá, equipe da SmierVeda Blumenau,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89" s="43" t="str">
        <x:v>Olá, equipe da SmierVeda Blumenau,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89" s="43" t="str">
        <x:v>Vocês recebem consultas de peças especiais que acabam sem atendimento por prazo, material, quantidade ou ausência de desenho?</x:v>
      </x:c>
      <x:c r="Z189" s="43" t="str">
        <x:v>Este contato foi direcionado a um canal corporativo público por possível aderência entre as atividades das empresas. Para não receber novas mensagens da Parts Seals, responda com REMOVER.</x:v>
      </x:c>
      <x:c r="AA189" s="43" t="str">
        <x:v>Aguardando aprovação</x:v>
      </x:c>
      <x:c r="AB189" s="43" t="str">
        <x:v>Não</x:v>
      </x:c>
      <x:c r="AC189" s="44"/>
      <x:c r="AD189" s="44"/>
      <x:c r="AE189" s="44"/>
      <x:c r="AF189" s="44"/>
      <x:c r="AG189" s="43"/>
      <x:c r="AH189" s="43"/>
      <x:c r="AI189" s="43" t="str">
        <x:v>Não</x:v>
      </x:c>
      <x:c r="AJ189" s="43"/>
      <x:c r="AK189" s="43"/>
      <x:c r="AL189" s="43" t="str">
        <x:v>https://perfildaindustria.portaldaindustria.com.br/estado/tudo/sc</x:v>
      </x:c>
      <x:c r="AM189" s="43" t="str">
        <x:v>https://www.smierveda.com.br/fale-conosco/</x:v>
      </x:c>
      <x:c r="AN189" s="43" t="str">
        <x:v>Pesquise a empresa SmierVeda Blumenau, de Blumenau/SC,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89" s="43" t="str">
        <x:v>2026-07-24 v1</x:v>
      </x:c>
    </x:row>
    <x:row r="190" ht="72" customHeight="1">
      <x:c r="A190" s="43" t="n">
        <x:v>189</x:v>
      </x:c>
      <x:c r="B190" s="43" t="str">
        <x:v>Vedafer Comércio de Vedações</x:v>
      </x:c>
      <x:c r="C190" s="43" t="str">
        <x:v>Vedações</x:v>
      </x:c>
      <x:c r="D190" s="43" t="str">
        <x:v>Blumenau</x:v>
      </x:c>
      <x:c r="E190" s="43" t="str">
        <x:v>SC</x:v>
      </x:c>
      <x:c r="F190" s="43" t="str">
        <x:v>Sul</x:v>
      </x:c>
      <x:c r="G190" s="43" t="str">
        <x:v>C - Baixa</x:v>
      </x:c>
      <x:c r="H190" s="43" t="str">
        <x:v>Não contatado</x:v>
      </x:c>
      <x:c r="I190" s="43"/>
      <x:c r="J190" s="43" t="str">
        <x:v>Não localizado em fonte pública confiável até 24/07/2026</x:v>
      </x:c>
      <x:c r="K190" s="43" t="str">
        <x:v>Não</x:v>
      </x:c>
      <x:c r="L190" s="43" t="str">
        <x:v>especialista ou revenda de vedações industriais</x:v>
      </x:c>
      <x:c r="M190" s="43" t="str">
        <x:v>têxtil, máquinas, alimentos, plástico e manutenção industrial</x:v>
      </x:c>
      <x:c r="N190" s="43" t="str">
        <x:v>gaxetas, raspadores, anéis guia, vedações de haste e pistão, retentores especiais e reposições fora de linha</x:v>
      </x:c>
      <x:c r="O190" s="43" t="str">
        <x:v>peças sob medida em PTFE puro ou carregado, poliuretano, NBR, FKM, nylon e outros materiais técnicos</x:v>
      </x:c>
      <x:c r="P190" s="43" t="str">
        <x:v>complementar o portfólio com itens especiais, pequenas e médias séries, urgências e fabricação por desenho ou amostra</x:v>
      </x:c>
      <x:c r="Q190" s="43" t="str">
        <x:v>Segmento da base: Vedações; localização: Blumenau/SC; contexto industrial regional usado apenas como hipótese comercial. Sem e-mail público localizado. Nenhuma afirmação sobre clientes ou aplicações específicas da empresa foi feita sem fonte.</x:v>
      </x:c>
      <x:c r="R190" s="43" t="str">
        <x:v>Baixa</x:v>
      </x:c>
      <x:c r="S190" s="43" t="str">
        <x:v>Sim</x:v>
      </x:c>
      <x:c r="T190" s="43" t="str">
        <x:v>Possível parceria técnica — Vedafer Comércio de Vedações e Parts Seals</x:v>
      </x:c>
      <x:c r="U190" s="43" t="str">
        <x:v>Olá, equipe da Vedafer Comércio de Vedações,</x:v>
      </x:c>
      <x:c r="V190" s="43" t="str">
        <x:v>Olá, equipe da Vedafer Comércio de Vedações,
Ao analisar o perfil da Vedafer Comércio de Vedações em Blumenau, identifiquei uma possibilidade de parceria para demandas de vedação que não se encaixam bem em linhas padronizadas.
Em Blumenau/SC, cadeias como têxtil, máquinas, alimentos, plástico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90" s="43" t="str">
        <x:v>Olá, equipe da Vedafer Comércio de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90" s="43" t="str">
        <x:v>Olá, equipe da Vedafer Comércio de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90" s="43" t="str">
        <x:v>Vocês recebem consultas de peças especiais que acabam sem atendimento por prazo, material, quantidade ou ausência de desenho?</x:v>
      </x:c>
      <x:c r="Z190" s="43" t="str">
        <x:v>Este contato foi direcionado a um canal corporativo público por possível aderência entre as atividades das empresas. Para não receber novas mensagens da Parts Seals, responda com REMOVER.</x:v>
      </x:c>
      <x:c r="AA190" s="43" t="str">
        <x:v>Sem e-mail</x:v>
      </x:c>
      <x:c r="AB190" s="43" t="str">
        <x:v>Não</x:v>
      </x:c>
      <x:c r="AC190" s="44"/>
      <x:c r="AD190" s="44"/>
      <x:c r="AE190" s="44"/>
      <x:c r="AF190" s="44"/>
      <x:c r="AG190" s="43"/>
      <x:c r="AH190" s="43"/>
      <x:c r="AI190" s="43" t="str">
        <x:v>Não</x:v>
      </x:c>
      <x:c r="AJ190" s="43"/>
      <x:c r="AK190" s="43"/>
      <x:c r="AL190" s="43" t="str">
        <x:v>https://perfildaindustria.portaldaindustria.com.br/estado/tudo/sc</x:v>
      </x:c>
      <x:c r="AM190" s="43" t="str">
        <x:v>Não localizado em fonte pública confiável até 24/07/2026</x:v>
      </x:c>
      <x:c r="AN190" s="43" t="str">
        <x:v>Pesquise a empresa Vedafer Comércio de Vedações, de Blumenau/SC,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90" s="43" t="str">
        <x:v>2026-07-24 v1</x:v>
      </x:c>
    </x:row>
    <x:row r="191" ht="72" customHeight="1">
      <x:c r="A191" s="43" t="n">
        <x:v>190</x:v>
      </x:c>
      <x:c r="B191" s="43" t="str">
        <x:v>Vedax Comercial</x:v>
      </x:c>
      <x:c r="C191" s="43" t="str">
        <x:v>Juntas/Vedações</x:v>
      </x:c>
      <x:c r="D191" s="43" t="str">
        <x:v>Blumenau</x:v>
      </x:c>
      <x:c r="E191" s="43" t="str">
        <x:v>SC</x:v>
      </x:c>
      <x:c r="F191" s="43" t="str">
        <x:v>Sul</x:v>
      </x:c>
      <x:c r="G191" s="43" t="str">
        <x:v>A - Alta</x:v>
      </x:c>
      <x:c r="H191" s="43" t="str">
        <x:v>Não contatado</x:v>
      </x:c>
      <x:c r="I191" s="43"/>
      <x:c r="J191" s="43" t="str">
        <x:v>Não localizado em fonte pública confiável até 24/07/2026</x:v>
      </x:c>
      <x:c r="K191" s="43" t="str">
        <x:v>Não</x:v>
      </x:c>
      <x:c r="L191" s="43" t="str">
        <x:v>fornecedor de juntas e vedações técnicas</x:v>
      </x:c>
      <x:c r="M191" s="43" t="str">
        <x:v>têxtil, máquinas, alimentos, plástico e manutenção industrial</x:v>
      </x:c>
      <x:c r="N191" s="43" t="str">
        <x:v>juntas planas, anéis, sedes, guias e componentes sujeitos a fluidos, temperatura e ataque químico</x:v>
      </x:c>
      <x:c r="O191" s="43" t="str">
        <x:v>juntas e componentes em PTFE puro ou carregado, NBR, FKM e materiais técnicos, conforme desenho</x:v>
      </x:c>
      <x:c r="P191" s="43" t="str">
        <x:v>atender geometrias especiais, pequenas séries e aplicações em que a seleção correta do material é decisiva</x:v>
      </x:c>
      <x:c r="Q191" s="43" t="str">
        <x:v>Segmento da base: Juntas/Vedações; localização: Blumenau/SC; contexto industrial regional usado apenas como hipótese comercial. Sem e-mail público localizado. Nenhuma afirmação sobre clientes ou aplicações específicas da empresa foi feita sem fonte.</x:v>
      </x:c>
      <x:c r="R191" s="43" t="str">
        <x:v>Baixa</x:v>
      </x:c>
      <x:c r="S191" s="43" t="str">
        <x:v>Sim</x:v>
      </x:c>
      <x:c r="T191" s="43" t="str">
        <x:v>Apoio em vedações sob medida para a Vedax Comercial</x:v>
      </x:c>
      <x:c r="U191" s="43" t="str">
        <x:v>Olá, equipe da Vedax Comercial,</x:v>
      </x:c>
      <x:c r="V191" s="43" t="str">
        <x:v>Olá, equipe da Vedax Comercial,
A Parts Seals está ampliando parcerias com empresas técnicas do setor, e o perfil da Vedax Comercial chamou nossa atenção pela atuação em juntas/vedações.
Em Blumenau/SC, cadeias como têxtil, máquinas, alimentos, plástico e manutenção industrial costumam gerar solicitações de vedações especiais, principalmente quando há pressão, desgaste, ataque químico, temperatura ou dificuldade de reposição. Para o perfil de fornecedor de juntas e vedações técnicas, vemos maior aderência em juntas planas, anéis, sedes, guias e componentes sujeitos a fluidos, temperatura e ataque químico.
A Parts Seals pode apoiar com juntas e componentes em PTFE puro ou carregado, NBR, FKM e materiais técnicos, conforme desenho. A seleção final do material é validada conforme a aplicação; para as demandas mais comuns da região, vale avaliar especialmente NBR, PU, PTFE e FKM. Nosso objetivo é atender geometrias especiais, pequenas séries e aplicações em que a seleção correta do material é decisiva.
Há alguma junta ou componente especial que seus clientes pedem e que hoje exige terceirização ou prazo elevado?
Posso encaminhar uma apresentação curta ou avaliar um item real, sem compromisso?
Atenciosamente,
{{NOME_REMETENTE}}
Parts Seals Vedações Industriais
{{TELEFONE_REMETENTE}} | {{SITE_REMETENTE}}</x:v>
      </x:c>
      <x:c r="W191" s="43" t="str">
        <x:v>Olá, equipe da Vedax Comercial,
Retomando meu contato: pelo perfil de juntas/vedações de vocês, acredito que podemos apoiar principalmente em juntas planas, anéis, sedes, guias e componentes sujeitos a fluidos, temperatura e ataque químico.
Se tiverem uma medida, desenho ou foto de um item difícil de localizar, podemos fazer uma análise inicial e indicar o material mais adequado. Há algum caso em aberto que possamos avaliar?
Atenciosamente,
{{NOME_REMETENTE}}
Parts Seals Vedações Industriais</x:v>
      </x:c>
      <x:c r="X191" s="43" t="str">
        <x:v>Olá, equipe da Vedax Comercial,
Encerrando meu contato para não insistir. Caso surja alguma demanda de juntas planas, anéis, sedes, guias e componentes sujeitos a fluidos, temperatura e ataque químico,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91" s="43" t="str">
        <x:v>Há alguma junta ou componente especial que seus clientes pedem e que hoje exige terceirização ou prazo elevado?</x:v>
      </x:c>
      <x:c r="Z191" s="43" t="str">
        <x:v>Este contato foi direcionado a um canal corporativo público por possível aderência entre as atividades das empresas. Para não receber novas mensagens da Parts Seals, responda com REMOVER.</x:v>
      </x:c>
      <x:c r="AA191" s="43" t="str">
        <x:v>Sem e-mail</x:v>
      </x:c>
      <x:c r="AB191" s="43" t="str">
        <x:v>Não</x:v>
      </x:c>
      <x:c r="AC191" s="44"/>
      <x:c r="AD191" s="44"/>
      <x:c r="AE191" s="44"/>
      <x:c r="AF191" s="44"/>
      <x:c r="AG191" s="43"/>
      <x:c r="AH191" s="43"/>
      <x:c r="AI191" s="43" t="str">
        <x:v>Não</x:v>
      </x:c>
      <x:c r="AJ191" s="43"/>
      <x:c r="AK191" s="43"/>
      <x:c r="AL191" s="43" t="str">
        <x:v>https://perfildaindustria.portaldaindustria.com.br/estado/tudo/sc</x:v>
      </x:c>
      <x:c r="AM191" s="43" t="str">
        <x:v>Não localizado em fonte pública confiável até 24/07/2026</x:v>
      </x:c>
      <x:c r="AN191" s="43" t="str">
        <x:v>Pesquise a empresa Vedax Comercial, de Blumenau/SC,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91" s="43" t="str">
        <x:v>2026-07-24 v1</x:v>
      </x:c>
    </x:row>
    <x:row r="192" ht="72" customHeight="1">
      <x:c r="A192" s="43" t="n">
        <x:v>191</x:v>
      </x:c>
      <x:c r="B192" s="43" t="str">
        <x:v>Hydral Sistemas Óleo Hidráulicos</x:v>
      </x:c>
      <x:c r="C192" s="43" t="str">
        <x:v>Hidráulica</x:v>
      </x:c>
      <x:c r="D192" s="43" t="str">
        <x:v>Chapecó</x:v>
      </x:c>
      <x:c r="E192" s="43" t="str">
        <x:v>SC</x:v>
      </x:c>
      <x:c r="F192" s="43" t="str">
        <x:v>Sul</x:v>
      </x:c>
      <x:c r="G192" s="43" t="str">
        <x:v>Sem dados - qualificar</x:v>
      </x:c>
      <x:c r="H192" s="43" t="str">
        <x:v>Não contatado</x:v>
      </x:c>
      <x:c r="I192" s="43"/>
      <x:c r="J192" s="43" t="str">
        <x:v>Não localizado em fonte pública confiável até 24/07/2026</x:v>
      </x:c>
      <x:c r="K192" s="43" t="str">
        <x:v>Não</x:v>
      </x:c>
      <x:c r="L192" s="43" t="str">
        <x:v>fornecedor de soluções hidráulicas</x:v>
      </x:c>
      <x:c r="M192" s="43" t="str">
        <x:v>alimentos, frigoríficos, agroindústria e máquinas</x:v>
      </x:c>
      <x:c r="N192" s="43" t="str">
        <x:v>vedações de cilindros, raspadores, anéis guia, gaxetas e componentes de reposição</x:v>
      </x:c>
      <x:c r="O192" s="43" t="str">
        <x:v>componentes em PU, PTFE, NBR e FKM fabricados conforme alojamento, pressão e fluido</x:v>
      </x:c>
      <x:c r="P192" s="43" t="str">
        <x:v>reduzir a dependência de itens catalogados quando a medida, o material ou o prazo exigem fabricação especial</x:v>
      </x:c>
      <x:c r="Q192" s="43" t="str">
        <x:v>Segmento da base: Hidráulica; localização: Chapecó/SC; contexto industrial regional usado apenas como hipótese comercial. Sem e-mail público localizado. Nenhuma afirmação sobre clientes ou aplicações específicas da empresa foi feita sem fonte.</x:v>
      </x:c>
      <x:c r="R192" s="43" t="str">
        <x:v>Baixa</x:v>
      </x:c>
      <x:c r="S192" s="43" t="str">
        <x:v>Sim</x:v>
      </x:c>
      <x:c r="T192" s="43" t="str">
        <x:v>Possível parceria técnica com a Hydral Sistemas Óleo Hidráulicos</x:v>
      </x:c>
      <x:c r="U192" s="43" t="str">
        <x:v>Olá, equipe da Hydral Sistemas Óleo Hidráulicos,</x:v>
      </x:c>
      <x:c r="V192" s="43" t="str">
        <x:v>Olá, equipe da Hydral Sistemas Óleo Hidráulicos,
Gostaria de apresentar uma possibilidade de apoio complementar à Hydral Sistemas Óleo Hidráulicos para peças especiais, urgências e reposições fora de catálogo.
Em Chapecó/SC, cadeias como alimentos, frigoríficos, agroindústria e máquinas costumam gerar solicitações de vedações especiais, principalmente quando há pressão, desgaste, ataque químico, temperatura ou dificuldade de reposição. Para o perfil de fornecedor de soluções hidráulicas, vemos maior aderência em vedações de cilindros, raspadores, anéis guia, gaxetas e componentes de reposição.
A Parts Seals pode apoiar com componentes em PU, PTFE, NBR e FKM fabricados conforme alojamento, pressão e fluido. A seleção final do material é validada conforme a aplicação; para as demandas mais comuns da região, vale avaliar especialmente NBR, PU, PTFE e FKM. Nosso objetivo é reduzir a dependência de itens catalogados quando a medida, o material ou o prazo exigem fabricação especial.
Existe algum modelo de cilindro ou equipamento cuja reposição esteja difícil de encontrar no mercado?
Posso encaminhar uma apresentação curta ou avaliar um item real, sem compromisso?
Atenciosamente,
{{NOME_REMETENTE}}
Parts Seals Vedações Industriais
{{TELEFONE_REMETENTE}} | {{SITE_REMETENTE}}</x:v>
      </x:c>
      <x:c r="W192" s="43" t="str">
        <x:v>Olá, equipe da Hydral Sistemas Óleo Hidráulicos,
Retomando meu contato: pelo perfil de hidráulica de vocês, acredito que podemos apoiar principalmente em vedações de cilindros, raspadores, anéis guia, gaxetas e componentes de reposição.
Se tiverem uma medida, desenho ou foto de um item difícil de localizar, podemos fazer uma análise inicial e indicar o material mais adequado. Há algum caso em aberto que possamos avaliar?
Atenciosamente,
{{NOME_REMETENTE}}
Parts Seals Vedações Industriais</x:v>
      </x:c>
      <x:c r="X192" s="43" t="str">
        <x:v>Olá, equipe da Hydral Sistemas Óleo Hidráulicos,
Encerrando meu contato para não insistir. Caso surja alguma demanda de vedações de cilindros, raspadores, anéis guia, gaxetas e componentes de reposição,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92" s="43" t="str">
        <x:v>Existe algum modelo de cilindro ou equipamento cuja reposição esteja difícil de encontrar no mercado?</x:v>
      </x:c>
      <x:c r="Z192" s="43" t="str">
        <x:v>Este contato foi direcionado a um canal corporativo público por possível aderência entre as atividades das empresas. Para não receber novas mensagens da Parts Seals, responda com REMOVER.</x:v>
      </x:c>
      <x:c r="AA192" s="43" t="str">
        <x:v>Sem e-mail</x:v>
      </x:c>
      <x:c r="AB192" s="43" t="str">
        <x:v>Não</x:v>
      </x:c>
      <x:c r="AC192" s="44"/>
      <x:c r="AD192" s="44"/>
      <x:c r="AE192" s="44"/>
      <x:c r="AF192" s="44"/>
      <x:c r="AG192" s="43"/>
      <x:c r="AH192" s="43"/>
      <x:c r="AI192" s="43" t="str">
        <x:v>Não</x:v>
      </x:c>
      <x:c r="AJ192" s="43"/>
      <x:c r="AK192" s="43"/>
      <x:c r="AL192" s="43" t="str">
        <x:v>https://perfildaindustria.portaldaindustria.com.br/estado/tudo/sc</x:v>
      </x:c>
      <x:c r="AM192" s="43" t="str">
        <x:v>Não localizado em fonte pública confiável até 24/07/2026</x:v>
      </x:c>
      <x:c r="AN192" s="43" t="str">
        <x:v>Pesquise a empresa Hydral Sistemas Óleo Hidráulicos, de Chapecó/SC,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92" s="43" t="str">
        <x:v>2026-07-24 v1</x:v>
      </x:c>
    </x:row>
    <x:row r="193" ht="72" customHeight="1">
      <x:c r="A193" s="43" t="n">
        <x:v>192</x:v>
      </x:c>
      <x:c r="B193" s="43" t="str">
        <x:v>Mang Vedações</x:v>
      </x:c>
      <x:c r="C193" s="43" t="str">
        <x:v>Hidráulica/Vedações</x:v>
      </x:c>
      <x:c r="D193" s="43" t="str">
        <x:v>Chapecó</x:v>
      </x:c>
      <x:c r="E193" s="43" t="str">
        <x:v>SC</x:v>
      </x:c>
      <x:c r="F193" s="43" t="str">
        <x:v>Sul</x:v>
      </x:c>
      <x:c r="G193" s="43" t="str">
        <x:v>A - Alta</x:v>
      </x:c>
      <x:c r="H193" s="43" t="str">
        <x:v>Não contatado</x:v>
      </x:c>
      <x:c r="I193" s="43" t="str">
        <x:v>financeiro@mangvedacoes.com.br</x:v>
      </x:c>
      <x:c r="J193" s="43" t="str">
        <x:v>https://cnpj.info/Mangvedacoes-Mangueiras-e-Vedacoes-Hidraulicas-e-Pneumaticas-Mangvedacoes-Hidraulica-e-Pneumatica</x:v>
      </x:c>
      <x:c r="K193" s="43" t="str">
        <x:v>Sim</x:v>
      </x:c>
      <x:c r="L193" s="43" t="str">
        <x:v>fornecedor de componentes hidráulicos e vedações</x:v>
      </x:c>
      <x:c r="M193" s="43" t="str">
        <x:v>alimentos, frigoríficos, agroindústria e máquinas</x:v>
      </x:c>
      <x:c r="N193" s="43" t="str">
        <x:v>gaxetas de haste e pistão, raspadores, anéis guia, vedações rotativas e kits para cilindros hidráulicos</x:v>
      </x:c>
      <x:c r="O193" s="43" t="str">
        <x:v>vedações em PU, PTFE puro ou carregado, NBR e FKM, dimensionadas conforme pressão, velocidade, fluido e temperatura</x:v>
      </x:c>
      <x:c r="P193" s="43" t="str">
        <x:v>apoiar reformas e montagens com peças não padronizadas, reposições antigas e fabricação rápida por amostra ou desenho</x:v>
      </x:c>
      <x:c r="Q193" s="43" t="str">
        <x:v>Segmento da base: Hidráulica/Vedações; localização: Chapecó/SC; contexto industrial regional usado apenas como hipótese comercial. Fonte pública associada à empresa. Nenhuma afirmação sobre clientes ou aplicações específicas da empresa foi feita sem fonte.</x:v>
      </x:c>
      <x:c r="R193" s="43" t="str">
        <x:v>Moderada</x:v>
      </x:c>
      <x:c r="S193" s="43" t="str">
        <x:v>Sim</x:v>
      </x:c>
      <x:c r="T193" s="43" t="str">
        <x:v>Vedações hidráulicas especiais para a Mang Vedações</x:v>
      </x:c>
      <x:c r="U193" s="43" t="str">
        <x:v>Olá, equipe da Mang Vedações,</x:v>
      </x:c>
      <x:c r="V193" s="43" t="str">
        <x:v>Olá, equipe da Mang Vedações,
Estou entrando em contato porque a atuação da Mang Vedações em hidráulica/vedações tem boa aderência ao tipo de fabricação especial que realizamos na Parts Seals.
Em Chapecó/SC, cadeias como alimentos, frigoríficos, agroindústria e máquinas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NBR, PU,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193" s="43" t="str">
        <x:v>Olá, equipe da Mang Vedações,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193" s="43" t="str">
        <x:v>Olá, equipe da Mang Vedações,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93" s="43" t="str">
        <x:v>Há cilindros ou equipamentos para os quais vocês têm dificuldade de localizar a vedação correta ou cumprir o prazo do cliente?</x:v>
      </x:c>
      <x:c r="Z193" s="43" t="str">
        <x:v>Este contato foi direcionado a um canal corporativo público por possível aderência entre as atividades das empresas. Para não receber novas mensagens da Parts Seals, responda com REMOVER.</x:v>
      </x:c>
      <x:c r="AA193" s="43" t="str">
        <x:v>Aguardando aprovação</x:v>
      </x:c>
      <x:c r="AB193" s="43" t="str">
        <x:v>Não</x:v>
      </x:c>
      <x:c r="AC193" s="44"/>
      <x:c r="AD193" s="44"/>
      <x:c r="AE193" s="44"/>
      <x:c r="AF193" s="44"/>
      <x:c r="AG193" s="43"/>
      <x:c r="AH193" s="43"/>
      <x:c r="AI193" s="43" t="str">
        <x:v>Não</x:v>
      </x:c>
      <x:c r="AJ193" s="43"/>
      <x:c r="AK193" s="43"/>
      <x:c r="AL193" s="43" t="str">
        <x:v>https://perfildaindustria.portaldaindustria.com.br/estado/tudo/sc</x:v>
      </x:c>
      <x:c r="AM193" s="43" t="str">
        <x:v>https://cnpj.info/Mangvedacoes-Mangueiras-e-Vedacoes-Hidraulicas-e-Pneumaticas-Mangvedacoes-Hidraulica-e-Pneumatica</x:v>
      </x:c>
      <x:c r="AN193" s="43" t="str">
        <x:v>Pesquise a empresa Mang Vedações, de Chapecó/SC,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93" s="43" t="str">
        <x:v>2026-07-24 v1</x:v>
      </x:c>
    </x:row>
    <x:row r="194" ht="72" customHeight="1">
      <x:c r="A194" s="43" t="n">
        <x:v>193</x:v>
      </x:c>
      <x:c r="B194" s="43" t="str">
        <x:v>Itaved Itajaí Vedação</x:v>
      </x:c>
      <x:c r="C194" s="43" t="str">
        <x:v>Vedações</x:v>
      </x:c>
      <x:c r="D194" s="43" t="str">
        <x:v>Itajaí</x:v>
      </x:c>
      <x:c r="E194" s="43" t="str">
        <x:v>SC</x:v>
      </x:c>
      <x:c r="F194" s="43" t="str">
        <x:v>Sul</x:v>
      </x:c>
      <x:c r="G194" s="43" t="str">
        <x:v>A - Alta</x:v>
      </x:c>
      <x:c r="H194" s="43" t="str">
        <x:v>Não contatado</x:v>
      </x:c>
      <x:c r="I194" s="43"/>
      <x:c r="J194" s="43" t="str">
        <x:v>Não localizado em fonte pública confiável até 24/07/2026</x:v>
      </x:c>
      <x:c r="K194" s="43" t="str">
        <x:v>Não</x:v>
      </x:c>
      <x:c r="L194" s="43" t="str">
        <x:v>especialista ou revenda de vedações industriais</x:v>
      </x:c>
      <x:c r="M194" s="43" t="str">
        <x:v>operações portuárias, alimentos, naval e manutenção industrial</x:v>
      </x:c>
      <x:c r="N194" s="43" t="str">
        <x:v>gaxetas, raspadores, anéis guia, vedações de haste e pistão, retentores especiais e reposições fora de linha</x:v>
      </x:c>
      <x:c r="O194" s="43" t="str">
        <x:v>peças sob medida em PTFE puro ou carregado, poliuretano, NBR, FKM, nylon e outros materiais técnicos</x:v>
      </x:c>
      <x:c r="P194" s="43" t="str">
        <x:v>complementar o portfólio com itens especiais, pequenas e médias séries, urgências e fabricação por desenho ou amostra</x:v>
      </x:c>
      <x:c r="Q194" s="43" t="str">
        <x:v>Segmento da base: Vedações; localização: Itajaí/SC; contexto industrial regional usado apenas como hipótese comercial. Sem e-mail público localizado. Nenhuma afirmação sobre clientes ou aplicações específicas da empresa foi feita sem fonte.</x:v>
      </x:c>
      <x:c r="R194" s="43" t="str">
        <x:v>Baixa</x:v>
      </x:c>
      <x:c r="S194" s="43" t="str">
        <x:v>Sim</x:v>
      </x:c>
      <x:c r="T194" s="43" t="str">
        <x:v>Possível parceria técnica — Itaved Itajaí Vedação e Parts Seals</x:v>
      </x:c>
      <x:c r="U194" s="43" t="str">
        <x:v>Olá, equipe da Itaved Itajaí Vedação,</x:v>
      </x:c>
      <x:c r="V194" s="43" t="str">
        <x:v>Olá, equipe da Itaved Itajaí Vedação,
Ao analisar o perfil da Itaved Itajaí Vedação em Itajaí, identifiquei uma possibilidade de parceria para demandas de vedação que não se encaixam bem em linhas padronizadas.
Em Itajaí/SC, cadeias como operações portuárias, alimentos, naval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FKM, PU e NBR.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94" s="43" t="str">
        <x:v>Olá, equipe da Itaved Itajaí Vedação,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94" s="43" t="str">
        <x:v>Olá, equipe da Itaved Itajaí Vedação,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94" s="43" t="str">
        <x:v>Vocês recebem consultas de peças especiais que acabam sem atendimento por prazo, material, quantidade ou ausência de desenho?</x:v>
      </x:c>
      <x:c r="Z194" s="43" t="str">
        <x:v>Este contato foi direcionado a um canal corporativo público por possível aderência entre as atividades das empresas. Para não receber novas mensagens da Parts Seals, responda com REMOVER.</x:v>
      </x:c>
      <x:c r="AA194" s="43" t="str">
        <x:v>Sem e-mail</x:v>
      </x:c>
      <x:c r="AB194" s="43" t="str">
        <x:v>Não</x:v>
      </x:c>
      <x:c r="AC194" s="44"/>
      <x:c r="AD194" s="44"/>
      <x:c r="AE194" s="44"/>
      <x:c r="AF194" s="44"/>
      <x:c r="AG194" s="43"/>
      <x:c r="AH194" s="43"/>
      <x:c r="AI194" s="43" t="str">
        <x:v>Não</x:v>
      </x:c>
      <x:c r="AJ194" s="43"/>
      <x:c r="AK194" s="43"/>
      <x:c r="AL194" s="43" t="str">
        <x:v>https://perfildaindustria.portaldaindustria.com.br/estado/tudo/sc</x:v>
      </x:c>
      <x:c r="AM194" s="43" t="str">
        <x:v>Não localizado em fonte pública confiável até 24/07/2026</x:v>
      </x:c>
      <x:c r="AN194" s="43" t="str">
        <x:v>Pesquise a empresa Itaved Itajaí Vedação, de Itajaí/SC,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94" s="43" t="str">
        <x:v>2026-07-24 v1</x:v>
      </x:c>
    </x:row>
    <x:row r="195" ht="72" customHeight="1">
      <x:c r="A195" s="43" t="n">
        <x:v>194</x:v>
      </x:c>
      <x:c r="B195" s="43" t="str">
        <x:v>Borville Vedações</x:v>
      </x:c>
      <x:c r="C195" s="43" t="str">
        <x:v>Vedações</x:v>
      </x:c>
      <x:c r="D195" s="43" t="str">
        <x:v>Joinville</x:v>
      </x:c>
      <x:c r="E195" s="43" t="str">
        <x:v>SC</x:v>
      </x:c>
      <x:c r="F195" s="43" t="str">
        <x:v>Sul</x:v>
      </x:c>
      <x:c r="G195" s="43" t="str">
        <x:v>B - Média</x:v>
      </x:c>
      <x:c r="H195" s="43" t="str">
        <x:v>Não contatado</x:v>
      </x:c>
      <x:c r="I195" s="43" t="str">
        <x:v>contato@borvillevedacoes.com.br</x:v>
      </x:c>
      <x:c r="J195" s="43" t="str">
        <x:v>https://borvillevedacoes.com.br/</x:v>
      </x:c>
      <x:c r="K195" s="43" t="str">
        <x:v>Sim</x:v>
      </x:c>
      <x:c r="L195" s="43" t="str">
        <x:v>especialista ou revenda de vedações industriais</x:v>
      </x:c>
      <x:c r="M195" s="43" t="str">
        <x:v>metalmecânico, máquinas, fundição, plástico e manutenção industrial</x:v>
      </x:c>
      <x:c r="N195" s="43" t="str">
        <x:v>gaxetas, raspadores, anéis guia, vedações de haste e pistão, retentores especiais e reposições fora de linha</x:v>
      </x:c>
      <x:c r="O195" s="43" t="str">
        <x:v>peças sob medida em PTFE puro ou carregado, poliuretano, NBR, FKM, nylon e outros materiais técnicos</x:v>
      </x:c>
      <x:c r="P195" s="43" t="str">
        <x:v>complementar o portfólio com itens especiais, pequenas e médias séries, urgências e fabricação por desenho ou amostra</x:v>
      </x:c>
      <x:c r="Q195" s="43" t="str">
        <x:v>Segmento da base: Vedações; localização: Joinville/SC; contexto industrial regional usado apenas como hipótese comercial. Domínio do e-mail coincide com a fonte oficial. Nenhuma afirmação sobre clientes ou aplicações específicas da empresa foi feita sem fonte.</x:v>
      </x:c>
      <x:c r="R195" s="43" t="str">
        <x:v>Alta</x:v>
      </x:c>
      <x:c r="S195" s="43" t="str">
        <x:v>Recomendada</x:v>
      </x:c>
      <x:c r="T195" s="43" t="str">
        <x:v>Apoio em vedações sob medida para a Borville Vedações</x:v>
      </x:c>
      <x:c r="U195" s="43" t="str">
        <x:v>Olá, equipe da Borville Vedações,</x:v>
      </x:c>
      <x:c r="V195" s="43" t="str">
        <x:v>Olá, equipe da Borville Vedações,
A Parts Seals está ampliando parcerias com empresas técnicas do setor, e o perfil da Borville Vedações chamou nossa atenção pela atuação em vedações.
Em Joinville/SC, cadeias como metalmecânico, máquinas, fundição, plástico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95" s="43" t="str">
        <x:v>Olá, equipe da Borville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95" s="43" t="str">
        <x:v>Olá, equipe da Borville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95" s="43" t="str">
        <x:v>Vocês recebem consultas de peças especiais que acabam sem atendimento por prazo, material, quantidade ou ausência de desenho?</x:v>
      </x:c>
      <x:c r="Z195" s="43" t="str">
        <x:v>Este contato foi direcionado a um canal corporativo público por possível aderência entre as atividades das empresas. Para não receber novas mensagens da Parts Seals, responda com REMOVER.</x:v>
      </x:c>
      <x:c r="AA195" s="43" t="str">
        <x:v>Aguardando aprovação</x:v>
      </x:c>
      <x:c r="AB195" s="43" t="str">
        <x:v>Não</x:v>
      </x:c>
      <x:c r="AC195" s="44"/>
      <x:c r="AD195" s="44"/>
      <x:c r="AE195" s="44"/>
      <x:c r="AF195" s="44"/>
      <x:c r="AG195" s="43"/>
      <x:c r="AH195" s="43"/>
      <x:c r="AI195" s="43" t="str">
        <x:v>Não</x:v>
      </x:c>
      <x:c r="AJ195" s="43"/>
      <x:c r="AK195" s="43"/>
      <x:c r="AL195" s="43" t="str">
        <x:v>https://perfildaindustria.portaldaindustria.com.br/estado/tudo/sc</x:v>
      </x:c>
      <x:c r="AM195" s="43" t="str">
        <x:v>https://borvillevedacoes.com.br/</x:v>
      </x:c>
      <x:c r="AN195" s="43" t="str">
        <x:v>Pesquise a empresa Borville Vedações, de Joinville/SC,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95" s="43" t="str">
        <x:v>2026-07-24 v1</x:v>
      </x:c>
    </x:row>
    <x:row r="196" ht="72" customHeight="1">
      <x:c r="A196" s="43" t="n">
        <x:v>195</x:v>
      </x:c>
      <x:c r="B196" s="43" t="str">
        <x:v>Hidramave Mangueiras e Vedações</x:v>
      </x:c>
      <x:c r="C196" s="43" t="str">
        <x:v>Hidráulica/Vedações</x:v>
      </x:c>
      <x:c r="D196" s="43" t="str">
        <x:v>Joinville</x:v>
      </x:c>
      <x:c r="E196" s="43" t="str">
        <x:v>SC</x:v>
      </x:c>
      <x:c r="F196" s="43" t="str">
        <x:v>Sul</x:v>
      </x:c>
      <x:c r="G196" s="43" t="str">
        <x:v>A - Alta</x:v>
      </x:c>
      <x:c r="H196" s="43" t="str">
        <x:v>Não contatado</x:v>
      </x:c>
      <x:c r="I196" s="43" t="str">
        <x:v>lojavirtual@hidramave.com.br</x:v>
      </x:c>
      <x:c r="J196" s="43" t="str">
        <x:v>https://www.hidramave.com.br/</x:v>
      </x:c>
      <x:c r="K196" s="43" t="str">
        <x:v>Sim</x:v>
      </x:c>
      <x:c r="L196" s="43" t="str">
        <x:v>fornecedor de componentes hidráulicos e vedações</x:v>
      </x:c>
      <x:c r="M196" s="43" t="str">
        <x:v>metalmecânico, máquinas, fundição, plástico e manutenção industrial</x:v>
      </x:c>
      <x:c r="N196" s="43" t="str">
        <x:v>gaxetas de haste e pistão, raspadores, anéis guia, vedações rotativas e kits para cilindros hidráulicos</x:v>
      </x:c>
      <x:c r="O196" s="43" t="str">
        <x:v>vedações em PU, PTFE puro ou carregado, NBR e FKM, dimensionadas conforme pressão, velocidade, fluido e temperatura</x:v>
      </x:c>
      <x:c r="P196" s="43" t="str">
        <x:v>apoiar reformas e montagens com peças não padronizadas, reposições antigas e fabricação rápida por amostra ou desenho</x:v>
      </x:c>
      <x:c r="Q196" s="43" t="str">
        <x:v>Segmento da base: Hidráulica/Vedações; localização: Joinville/SC; contexto industrial regional usado apenas como hipótese comercial. Domínio do e-mail coincide com a fonte oficial. Nenhuma afirmação sobre clientes ou aplicações específicas da empresa foi feita sem fonte.</x:v>
      </x:c>
      <x:c r="R196" s="43" t="str">
        <x:v>Alta</x:v>
      </x:c>
      <x:c r="S196" s="43" t="str">
        <x:v>Recomendada</x:v>
      </x:c>
      <x:c r="T196" s="43" t="str">
        <x:v>Possível parceria técnica com a Hidramave Mangueiras e Vedações</x:v>
      </x:c>
      <x:c r="U196" s="43" t="str">
        <x:v>Olá, equipe da Hidramave Mangueiras e Vedações,</x:v>
      </x:c>
      <x:c r="V196" s="43" t="str">
        <x:v>Olá, equipe da Hidramave Mangueiras e Vedações,
Gostaria de apresentar uma possibilidade de apoio complementar à Hidramave Mangueiras e Vedações para peças especiais, urgências e reposições fora de catálogo.
Em Joinville/SC, cadeias como metalmecânico, máquinas, fundição, plástico e manutenção industrial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PU, NBR,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196" s="43" t="str">
        <x:v>Olá, equipe da Hidramave Mangueiras e Vedações,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196" s="43" t="str">
        <x:v>Olá, equipe da Hidramave Mangueiras e Vedações,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96" s="43" t="str">
        <x:v>Há cilindros ou equipamentos para os quais vocês têm dificuldade de localizar a vedação correta ou cumprir o prazo do cliente?</x:v>
      </x:c>
      <x:c r="Z196" s="43" t="str">
        <x:v>Este contato foi direcionado a um canal corporativo público por possível aderência entre as atividades das empresas. Para não receber novas mensagens da Parts Seals, responda com REMOVER.</x:v>
      </x:c>
      <x:c r="AA196" s="43" t="str">
        <x:v>Aguardando aprovação</x:v>
      </x:c>
      <x:c r="AB196" s="43" t="str">
        <x:v>Não</x:v>
      </x:c>
      <x:c r="AC196" s="44"/>
      <x:c r="AD196" s="44"/>
      <x:c r="AE196" s="44"/>
      <x:c r="AF196" s="44"/>
      <x:c r="AG196" s="43"/>
      <x:c r="AH196" s="43"/>
      <x:c r="AI196" s="43" t="str">
        <x:v>Não</x:v>
      </x:c>
      <x:c r="AJ196" s="43"/>
      <x:c r="AK196" s="43"/>
      <x:c r="AL196" s="43" t="str">
        <x:v>https://perfildaindustria.portaldaindustria.com.br/estado/tudo/sc</x:v>
      </x:c>
      <x:c r="AM196" s="43" t="str">
        <x:v>https://www.hidramave.com.br/</x:v>
      </x:c>
      <x:c r="AN196" s="43" t="str">
        <x:v>Pesquise a empresa Hidramave Mangueiras e Vedações, de Joinville/SC,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96" s="43" t="str">
        <x:v>2026-07-24 v1</x:v>
      </x:c>
    </x:row>
    <x:row r="197" ht="72" customHeight="1">
      <x:c r="A197" s="43" t="n">
        <x:v>196</x:v>
      </x:c>
      <x:c r="B197" s="43" t="str">
        <x:v>Indubor Indústria de Borracha</x:v>
      </x:c>
      <x:c r="C197" s="43" t="str">
        <x:v>Fabricante</x:v>
      </x:c>
      <x:c r="D197" s="43" t="str">
        <x:v>Joinville</x:v>
      </x:c>
      <x:c r="E197" s="43" t="str">
        <x:v>SC</x:v>
      </x:c>
      <x:c r="F197" s="43" t="str">
        <x:v>Sul</x:v>
      </x:c>
      <x:c r="G197" s="43" t="str">
        <x:v>B - Média</x:v>
      </x:c>
      <x:c r="H197" s="43" t="str">
        <x:v>Não contatado</x:v>
      </x:c>
      <x:c r="I197" s="43"/>
      <x:c r="J197" s="43" t="str">
        <x:v>Não localizado em fonte pública confiável até 24/07/2026</x:v>
      </x:c>
      <x:c r="K197" s="43" t="str">
        <x:v>Não</x:v>
      </x:c>
      <x:c r="L197" s="43" t="str">
        <x:v>fabricante de componentes industriais</x:v>
      </x:c>
      <x:c r="M197" s="43" t="str">
        <x:v>metalmecânico, máquinas, fundição, plástico e manutenção industrial</x:v>
      </x:c>
      <x:c r="N197" s="43" t="str">
        <x:v>componentes de vedação, guias, anéis, juntas e peças técnicas integradas ao equipamento</x:v>
      </x:c>
      <x:c r="O197" s="43" t="str">
        <x:v>peças sob desenho em PTFE, PU, NBR, FKM, nylon e materiais técnicos</x:v>
      </x:c>
      <x:c r="P197" s="43" t="str">
        <x:v>fornecer componentes prontos para montagem, inclusive em lotes piloto, reposição e desenvolvimento</x:v>
      </x:c>
      <x:c r="Q197" s="43" t="str">
        <x:v>Segmento da base: Fabricante; localização: Joinville/SC; contexto industrial regional usado apenas como hipótese comercial. Sem e-mail público localizado. Nenhuma afirmação sobre clientes ou aplicações específicas da empresa foi feita sem fonte.</x:v>
      </x:c>
      <x:c r="R197" s="43" t="str">
        <x:v>Baixa</x:v>
      </x:c>
      <x:c r="S197" s="43" t="str">
        <x:v>Sim</x:v>
      </x:c>
      <x:c r="T197" s="43" t="str">
        <x:v>Apoio produtivo para itens especiais — Indubor Indústria de Borracha</x:v>
      </x:c>
      <x:c r="U197" s="43" t="str">
        <x:v>Olá, equipe da Indubor Indústria de Borracha,</x:v>
      </x:c>
      <x:c r="V197" s="43" t="str">
        <x:v>Olá, equipe da Indubor Indústria de Borracha,
Estou entrando em contato porque a atuação da Indubor Indústria de Borracha em fabricante tem boa aderência ao tipo de fabricação especial que realizamos na Parts Seals.
Em Joinville/SC, cadeias como metalmecânico, máquinas, fundição, plástico e manutenção industrial costumam gerar solicitações de vedações especiais, principalmente quando há pressão, desgaste, ataque químico, temperatura ou dificuldade de reposição. Para o perfil de fabricante de componentes industriais, vemos maior aderência em componentes de vedação, guias, anéis, juntas e peças técnicas integradas ao equipamento.
A Parts Seals pode apoiar com peças sob desenho em PTFE, PU, NBR, FKM, nylon e materiais técnicos. A seleção final do material é validada conforme a aplicação; para as demandas mais comuns da região, vale avaliar especialmente PU, NBR, PTFE e FKM. Nosso objetivo é fornecer componentes prontos para montagem, inclusive em lotes piloto, reposição e desenvolvimento.
Há algum componente de vedação que hoje seja comprado como item padronizado, mas que poderia ser otimizado sob desenho?
Posso encaminhar uma apresentação curta ou avaliar um item real, sem compromisso?
Atenciosamente,
{{NOME_REMETENTE}}
Parts Seals Vedações Industriais
{{TELEFONE_REMETENTE}} | {{SITE_REMETENTE}}</x:v>
      </x:c>
      <x:c r="W197" s="43" t="str">
        <x:v>Olá, equipe da Indubor Indústria de Borracha,
Retomando meu contato: pelo perfil de fabricante de vocês, acredito que podemos apoiar principalmente em componentes de vedação, guias, anéis, juntas e peças técnicas integradas ao equipamento.
Se tiverem uma medida, desenho ou foto de um item difícil de localizar, podemos fazer uma análise inicial e indicar o material mais adequado. Há algum caso em aberto que possamos avaliar?
Atenciosamente,
{{NOME_REMETENTE}}
Parts Seals Vedações Industriais</x:v>
      </x:c>
      <x:c r="X197" s="43" t="str">
        <x:v>Olá, equipe da Indubor Indústria de Borracha,
Encerrando meu contato para não insistir. Caso surja alguma demanda de componentes de vedação, guias, anéis, juntas e peças técnicas integradas ao equipamento,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97" s="43" t="str">
        <x:v>Há algum componente de vedação que hoje seja comprado como item padronizado, mas que poderia ser otimizado sob desenho?</x:v>
      </x:c>
      <x:c r="Z197" s="43" t="str">
        <x:v>Este contato foi direcionado a um canal corporativo público por possível aderência entre as atividades das empresas. Para não receber novas mensagens da Parts Seals, responda com REMOVER.</x:v>
      </x:c>
      <x:c r="AA197" s="43" t="str">
        <x:v>Sem e-mail</x:v>
      </x:c>
      <x:c r="AB197" s="43" t="str">
        <x:v>Não</x:v>
      </x:c>
      <x:c r="AC197" s="44"/>
      <x:c r="AD197" s="44"/>
      <x:c r="AE197" s="44"/>
      <x:c r="AF197" s="44"/>
      <x:c r="AG197" s="43"/>
      <x:c r="AH197" s="43"/>
      <x:c r="AI197" s="43" t="str">
        <x:v>Não</x:v>
      </x:c>
      <x:c r="AJ197" s="43"/>
      <x:c r="AK197" s="43"/>
      <x:c r="AL197" s="43" t="str">
        <x:v>https://perfildaindustria.portaldaindustria.com.br/estado/tudo/sc</x:v>
      </x:c>
      <x:c r="AM197" s="43" t="str">
        <x:v>Não localizado em fonte pública confiável até 24/07/2026</x:v>
      </x:c>
      <x:c r="AN197" s="43" t="str">
        <x:v>Pesquise a empresa Indubor Indústria de Borracha, de Joinville/SC,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97" s="43" t="str">
        <x:v>2026-07-24 v1</x:v>
      </x:c>
    </x:row>
    <x:row r="198" ht="72" customHeight="1">
      <x:c r="A198" s="43" t="n">
        <x:v>197</x:v>
      </x:c>
      <x:c r="B198" s="43" t="str">
        <x:v>Joinville Vedações</x:v>
      </x:c>
      <x:c r="C198" s="43" t="str">
        <x:v>Vedações</x:v>
      </x:c>
      <x:c r="D198" s="43" t="str">
        <x:v>Joinville</x:v>
      </x:c>
      <x:c r="E198" s="43" t="str">
        <x:v>SC</x:v>
      </x:c>
      <x:c r="F198" s="43" t="str">
        <x:v>Sul</x:v>
      </x:c>
      <x:c r="G198" s="43" t="str">
        <x:v>C - Baixa</x:v>
      </x:c>
      <x:c r="H198" s="43" t="str">
        <x:v>Não contatado</x:v>
      </x:c>
      <x:c r="I198" s="43" t="str">
        <x:v>joinvillevedacoes@joinvillevedacoes.com.br</x:v>
      </x:c>
      <x:c r="J198" s="43" t="str">
        <x:v>https://joinvillevedacoes.com.br/category/home/</x:v>
      </x:c>
      <x:c r="K198" s="43" t="str">
        <x:v>Sim</x:v>
      </x:c>
      <x:c r="L198" s="43" t="str">
        <x:v>especialista ou revenda de vedações industriais</x:v>
      </x:c>
      <x:c r="M198" s="43" t="str">
        <x:v>metalmecânico, máquinas, fundição, plástico e manutenção industrial</x:v>
      </x:c>
      <x:c r="N198" s="43" t="str">
        <x:v>gaxetas, raspadores, anéis guia, vedações de haste e pistão, retentores especiais e reposições fora de linha</x:v>
      </x:c>
      <x:c r="O198" s="43" t="str">
        <x:v>peças sob medida em PTFE puro ou carregado, poliuretano, NBR, FKM, nylon e outros materiais técnicos</x:v>
      </x:c>
      <x:c r="P198" s="43" t="str">
        <x:v>complementar o portfólio com itens especiais, pequenas e médias séries, urgências e fabricação por desenho ou amostra</x:v>
      </x:c>
      <x:c r="Q198" s="43" t="str">
        <x:v>Segmento da base: Vedações; localização: Joinville/SC; contexto industrial regional usado apenas como hipótese comercial. Domínio do e-mail coincide com a fonte oficial. Nenhuma afirmação sobre clientes ou aplicações específicas da empresa foi feita sem fonte.</x:v>
      </x:c>
      <x:c r="R198" s="43" t="str">
        <x:v>Alta</x:v>
      </x:c>
      <x:c r="S198" s="43" t="str">
        <x:v>Recomendada</x:v>
      </x:c>
      <x:c r="T198" s="43" t="str">
        <x:v>Possível parceria técnica — Joinville Vedações e Parts Seals</x:v>
      </x:c>
      <x:c r="U198" s="43" t="str">
        <x:v>Olá, equipe da Joinville Vedações,</x:v>
      </x:c>
      <x:c r="V198" s="43" t="str">
        <x:v>Olá, equipe da Joinville Vedações,
Ao analisar o perfil da Joinville Vedações em Joinville, identifiquei uma possibilidade de parceria para demandas de vedação que não se encaixam bem em linhas padronizadas.
Em Joinville/SC, cadeias como metalmecânico, máquinas, fundição, plástico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98" s="43" t="str">
        <x:v>Olá, equipe da Joinville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98" s="43" t="str">
        <x:v>Olá, equipe da Joinville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98" s="43" t="str">
        <x:v>Vocês recebem consultas de peças especiais que acabam sem atendimento por prazo, material, quantidade ou ausência de desenho?</x:v>
      </x:c>
      <x:c r="Z198" s="43" t="str">
        <x:v>Este contato foi direcionado a um canal corporativo público por possível aderência entre as atividades das empresas. Para não receber novas mensagens da Parts Seals, responda com REMOVER.</x:v>
      </x:c>
      <x:c r="AA198" s="43" t="str">
        <x:v>Aguardando aprovação</x:v>
      </x:c>
      <x:c r="AB198" s="43" t="str">
        <x:v>Não</x:v>
      </x:c>
      <x:c r="AC198" s="44"/>
      <x:c r="AD198" s="44"/>
      <x:c r="AE198" s="44"/>
      <x:c r="AF198" s="44"/>
      <x:c r="AG198" s="43"/>
      <x:c r="AH198" s="43"/>
      <x:c r="AI198" s="43" t="str">
        <x:v>Não</x:v>
      </x:c>
      <x:c r="AJ198" s="43"/>
      <x:c r="AK198" s="43"/>
      <x:c r="AL198" s="43" t="str">
        <x:v>https://perfildaindustria.portaldaindustria.com.br/estado/tudo/sc</x:v>
      </x:c>
      <x:c r="AM198" s="43" t="str">
        <x:v>https://joinvillevedacoes.com.br/category/home/</x:v>
      </x:c>
      <x:c r="AN198" s="43" t="str">
        <x:v>Pesquise a empresa Joinville Vedações, de Joinville/SC,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98" s="43" t="str">
        <x:v>2026-07-24 v1</x:v>
      </x:c>
    </x:row>
    <x:row r="199" ht="72" customHeight="1">
      <x:c r="A199" s="43" t="n">
        <x:v>198</x:v>
      </x:c>
      <x:c r="B199" s="43" t="str">
        <x:v>Smierveda Lubrificantes e Vedações</x:v>
      </x:c>
      <x:c r="C199" s="43" t="str">
        <x:v>Vedações</x:v>
      </x:c>
      <x:c r="D199" s="43" t="str">
        <x:v>Joinville</x:v>
      </x:c>
      <x:c r="E199" s="43" t="str">
        <x:v>SC</x:v>
      </x:c>
      <x:c r="F199" s="43" t="str">
        <x:v>Sul</x:v>
      </x:c>
      <x:c r="G199" s="43" t="str">
        <x:v>C - Baixa</x:v>
      </x:c>
      <x:c r="H199" s="43" t="str">
        <x:v>Não contatado</x:v>
      </x:c>
      <x:c r="I199" s="43" t="str">
        <x:v>joinville@smierveda.com.br</x:v>
      </x:c>
      <x:c r="J199" s="43" t="str">
        <x:v>https://www.smierveda.com.br/fale-conosco/</x:v>
      </x:c>
      <x:c r="K199" s="43" t="str">
        <x:v>Sim</x:v>
      </x:c>
      <x:c r="L199" s="43" t="str">
        <x:v>especialista ou revenda de vedações industriais</x:v>
      </x:c>
      <x:c r="M199" s="43" t="str">
        <x:v>metalmecânico, máquinas, fundição, plástico e manutenção industrial</x:v>
      </x:c>
      <x:c r="N199" s="43" t="str">
        <x:v>gaxetas, raspadores, anéis guia, vedações de haste e pistão, retentores especiais e reposições fora de linha</x:v>
      </x:c>
      <x:c r="O199" s="43" t="str">
        <x:v>peças sob medida em PTFE puro ou carregado, poliuretano, NBR, FKM, nylon e outros materiais técnicos</x:v>
      </x:c>
      <x:c r="P199" s="43" t="str">
        <x:v>complementar o portfólio com itens especiais, pequenas e médias séries, urgências e fabricação por desenho ou amostra</x:v>
      </x:c>
      <x:c r="Q199" s="43" t="str">
        <x:v>Segmento da base: Vedações; localização: Joinville/SC; contexto industrial regional usado apenas como hipótese comercial. Domínio do e-mail coincide com a fonte oficial. Nenhuma afirmação sobre clientes ou aplicações específicas da empresa foi feita sem fonte.</x:v>
      </x:c>
      <x:c r="R199" s="43" t="str">
        <x:v>Alta</x:v>
      </x:c>
      <x:c r="S199" s="43" t="str">
        <x:v>Recomendada</x:v>
      </x:c>
      <x:c r="T199" s="43" t="str">
        <x:v>Apoio em vedações sob medida para a Smierveda Lubrificantes e Vedações</x:v>
      </x:c>
      <x:c r="U199" s="43" t="str">
        <x:v>Olá, equipe da Smierveda Lubrificantes e Vedações,</x:v>
      </x:c>
      <x:c r="V199" s="43" t="str">
        <x:v>Olá, equipe da Smierveda Lubrificantes e Vedações,
A Parts Seals está ampliando parcerias com empresas técnicas do setor, e o perfil da Smierveda Lubrificantes e Vedações chamou nossa atenção pela atuação em vedações.
Em Joinville/SC, cadeias como metalmecânico, máquinas, fundição, plástico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199" s="43" t="str">
        <x:v>Olá, equipe da Smierveda Lubrificantes e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199" s="43" t="str">
        <x:v>Olá, equipe da Smierveda Lubrificantes e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199" s="43" t="str">
        <x:v>Vocês recebem consultas de peças especiais que acabam sem atendimento por prazo, material, quantidade ou ausência de desenho?</x:v>
      </x:c>
      <x:c r="Z199" s="43" t="str">
        <x:v>Este contato foi direcionado a um canal corporativo público por possível aderência entre as atividades das empresas. Para não receber novas mensagens da Parts Seals, responda com REMOVER.</x:v>
      </x:c>
      <x:c r="AA199" s="43" t="str">
        <x:v>Aguardando aprovação</x:v>
      </x:c>
      <x:c r="AB199" s="43" t="str">
        <x:v>Não</x:v>
      </x:c>
      <x:c r="AC199" s="44"/>
      <x:c r="AD199" s="44"/>
      <x:c r="AE199" s="44"/>
      <x:c r="AF199" s="44"/>
      <x:c r="AG199" s="43"/>
      <x:c r="AH199" s="43"/>
      <x:c r="AI199" s="43" t="str">
        <x:v>Não</x:v>
      </x:c>
      <x:c r="AJ199" s="43"/>
      <x:c r="AK199" s="43"/>
      <x:c r="AL199" s="43" t="str">
        <x:v>https://perfildaindustria.portaldaindustria.com.br/estado/tudo/sc</x:v>
      </x:c>
      <x:c r="AM199" s="43" t="str">
        <x:v>https://www.smierveda.com.br/fale-conosco/</x:v>
      </x:c>
      <x:c r="AN199" s="43" t="str">
        <x:v>Pesquise a empresa Smierveda Lubrificantes e Vedações, de Joinville/SC,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199" s="43" t="str">
        <x:v>2026-07-24 v1</x:v>
      </x:c>
    </x:row>
    <x:row r="200" ht="72" customHeight="1">
      <x:c r="A200" s="43" t="n">
        <x:v>199</x:v>
      </x:c>
      <x:c r="B200" s="43" t="str">
        <x:v>Tornarth Máquinas e Equipamentos</x:v>
      </x:c>
      <x:c r="C200" s="43" t="str">
        <x:v>Industrial/Vedações</x:v>
      </x:c>
      <x:c r="D200" s="43" t="str">
        <x:v>Joinville</x:v>
      </x:c>
      <x:c r="E200" s="43" t="str">
        <x:v>SC</x:v>
      </x:c>
      <x:c r="F200" s="43" t="str">
        <x:v>Sul</x:v>
      </x:c>
      <x:c r="G200" s="43" t="str">
        <x:v>A - Alta</x:v>
      </x:c>
      <x:c r="H200" s="43" t="str">
        <x:v>Não contatado</x:v>
      </x:c>
      <x:c r="I200" s="43"/>
      <x:c r="J200" s="43" t="str">
        <x:v>Não localizado em fonte pública confiável até 24/07/2026</x:v>
      </x:c>
      <x:c r="K200" s="43" t="str">
        <x:v>Não</x:v>
      </x:c>
      <x:c r="L200" s="43" t="str">
        <x:v>fornecedor industrial com foco em vedações</x:v>
      </x:c>
      <x:c r="M200" s="43" t="str">
        <x:v>metalmecânico, máquinas, fundição, plástico e manutenção industrial</x:v>
      </x:c>
      <x:c r="N200" s="43" t="str">
        <x:v>manutenção, reposições especiais, equipamentos hidráulicos e componentes sujeitos a desgaste ou ataque químico</x:v>
      </x:c>
      <x:c r="O200" s="43" t="str">
        <x:v>peças em PTFE, PU, NBR e FKM sob medida</x:v>
      </x:c>
      <x:c r="P200" s="43" t="str">
        <x:v>atender itens fora de catálogo, urgências e pequenas séries com suporte na definição do material</x:v>
      </x:c>
      <x:c r="Q200" s="43" t="str">
        <x:v>Segmento da base: Industrial/Vedações; localização: Joinville/SC; contexto industrial regional usado apenas como hipótese comercial. Sem e-mail público localizado. Nenhuma afirmação sobre clientes ou aplicações específicas da empresa foi feita sem fonte.</x:v>
      </x:c>
      <x:c r="R200" s="43" t="str">
        <x:v>Baixa</x:v>
      </x:c>
      <x:c r="S200" s="43" t="str">
        <x:v>Sim</x:v>
      </x:c>
      <x:c r="T200" s="43" t="str">
        <x:v>Demandas fora de catálogo na Tornarth Máquinas e Equipamentos</x:v>
      </x:c>
      <x:c r="U200" s="43" t="str">
        <x:v>Olá, equipe da Tornarth Máquinas e Equipamentos,</x:v>
      </x:c>
      <x:c r="V200" s="43" t="str">
        <x:v>Olá, equipe da Tornarth Máquinas e Equipamentos,
Gostaria de apresentar uma possibilidade de apoio complementar à Tornarth Máquinas e Equipamentos para peças especiais, urgências e reposições fora de catálogo.
Em Joinville/SC, cadeias como metalmecânico, máquinas, fundição, plástico e manutenção industrial costumam gerar solicitações de vedações especiais, principalmente quando há pressão, desgaste, ataque químico, temperatura ou dificuldade de reposição. Para o perfil de fornecedor industrial com foco em vedações, vemos maior aderência em manutenção, reposições especiais, equipamentos hidráulicos e componentes sujeitos a desgaste ou ataque químico.
A Parts Seals pode apoiar com peças em PTFE, PU, NBR e FKM sob medida. A seleção final do material é validada conforme a aplicação; para as demandas mais comuns da região, vale avaliar especialmente PU, NBR, PTFE e FKM. Nosso objetivo é atender itens fora de catálogo, urgências e pequenas séries com suporte na definição do material.
Qual tipo de vedação especial mais gera atraso ou perda de venda para a equipe de vocês?
Posso encaminhar uma apresentação curta ou avaliar um item real, sem compromisso?
Atenciosamente,
{{NOME_REMETENTE}}
Parts Seals Vedações Industriais
{{TELEFONE_REMETENTE}} | {{SITE_REMETENTE}}</x:v>
      </x:c>
      <x:c r="W200" s="43" t="str">
        <x:v>Olá, equipe da Tornarth Máquinas e Equipamentos,
Retomando meu contato: pelo perfil de industrial/vedações de vocês, acredito que podemos apoiar principalmente em manutenção, reposições especiais, equipamentos hidráulicos e componentes sujeitos a desgaste ou ataque químico.
Se tiverem uma medida, desenho ou foto de um item difícil de localizar, podemos fazer uma análise inicial e indicar o material mais adequado. Há algum caso em aberto que possamos avaliar?
Atenciosamente,
{{NOME_REMETENTE}}
Parts Seals Vedações Industriais</x:v>
      </x:c>
      <x:c r="X200" s="43" t="str">
        <x:v>Olá, equipe da Tornarth Máquinas e Equipamentos,
Encerrando meu contato para não insistir. Caso surja alguma demanda de manutenção, reposições especiais, equipamentos hidráulicos e componentes sujeitos a desgaste ou ataque químico,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00" s="43" t="str">
        <x:v>Qual tipo de vedação especial mais gera atraso ou perda de venda para a equipe de vocês?</x:v>
      </x:c>
      <x:c r="Z200" s="43" t="str">
        <x:v>Este contato foi direcionado a um canal corporativo público por possível aderência entre as atividades das empresas. Para não receber novas mensagens da Parts Seals, responda com REMOVER.</x:v>
      </x:c>
      <x:c r="AA200" s="43" t="str">
        <x:v>Sem e-mail</x:v>
      </x:c>
      <x:c r="AB200" s="43" t="str">
        <x:v>Não</x:v>
      </x:c>
      <x:c r="AC200" s="44"/>
      <x:c r="AD200" s="44"/>
      <x:c r="AE200" s="44"/>
      <x:c r="AF200" s="44"/>
      <x:c r="AG200" s="43"/>
      <x:c r="AH200" s="43"/>
      <x:c r="AI200" s="43" t="str">
        <x:v>Não</x:v>
      </x:c>
      <x:c r="AJ200" s="43"/>
      <x:c r="AK200" s="43"/>
      <x:c r="AL200" s="43" t="str">
        <x:v>https://perfildaindustria.portaldaindustria.com.br/estado/tudo/sc</x:v>
      </x:c>
      <x:c r="AM200" s="43" t="str">
        <x:v>Não localizado em fonte pública confiável até 24/07/2026</x:v>
      </x:c>
      <x:c r="AN200" s="43" t="str">
        <x:v>Pesquise a empresa Tornarth Máquinas e Equipamentos, de Joinville/SC,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00" s="43" t="str">
        <x:v>2026-07-24 v1</x:v>
      </x:c>
    </x:row>
    <x:row r="201" ht="72" customHeight="1">
      <x:c r="A201" s="43" t="n">
        <x:v>200</x:v>
      </x:c>
      <x:c r="B201" s="43" t="str">
        <x:v>VedaSanta Vedações e Retentores</x:v>
      </x:c>
      <x:c r="C201" s="43" t="str">
        <x:v>Vedações</x:v>
      </x:c>
      <x:c r="D201" s="43" t="str">
        <x:v>Joinville</x:v>
      </x:c>
      <x:c r="E201" s="43" t="str">
        <x:v>SC</x:v>
      </x:c>
      <x:c r="F201" s="43" t="str">
        <x:v>Sul</x:v>
      </x:c>
      <x:c r="G201" s="43" t="str">
        <x:v>B - Média</x:v>
      </x:c>
      <x:c r="H201" s="43" t="str">
        <x:v>Não contatado</x:v>
      </x:c>
      <x:c r="I201" s="43"/>
      <x:c r="J201" s="43" t="str">
        <x:v>Não localizado em fonte pública confiável até 24/07/2026</x:v>
      </x:c>
      <x:c r="K201" s="43" t="str">
        <x:v>Não</x:v>
      </x:c>
      <x:c r="L201" s="43" t="str">
        <x:v>especialista ou revenda de vedações industriais</x:v>
      </x:c>
      <x:c r="M201" s="43" t="str">
        <x:v>metalmecânico, máquinas, fundição, plástico e manutenção industrial</x:v>
      </x:c>
      <x:c r="N201" s="43" t="str">
        <x:v>gaxetas, raspadores, anéis guia, vedações de haste e pistão, retentores especiais e reposições fora de linha</x:v>
      </x:c>
      <x:c r="O201" s="43" t="str">
        <x:v>peças sob medida em PTFE puro ou carregado, poliuretano, NBR, FKM, nylon e outros materiais técnicos</x:v>
      </x:c>
      <x:c r="P201" s="43" t="str">
        <x:v>complementar o portfólio com itens especiais, pequenas e médias séries, urgências e fabricação por desenho ou amostra</x:v>
      </x:c>
      <x:c r="Q201" s="43" t="str">
        <x:v>Segmento da base: Vedações; localização: Joinville/SC; contexto industrial regional usado apenas como hipótese comercial. Sem e-mail público localizado. Nenhuma afirmação sobre clientes ou aplicações específicas da empresa foi feita sem fonte.</x:v>
      </x:c>
      <x:c r="R201" s="43" t="str">
        <x:v>Baixa</x:v>
      </x:c>
      <x:c r="S201" s="43" t="str">
        <x:v>Sim</x:v>
      </x:c>
      <x:c r="T201" s="43" t="str">
        <x:v>Peças especiais para complementar o atendimento da VedaSanta Vedações e Retentores</x:v>
      </x:c>
      <x:c r="U201" s="43" t="str">
        <x:v>Olá, equipe da VedaSanta Vedações e Retentores,</x:v>
      </x:c>
      <x:c r="V201" s="43" t="str">
        <x:v>Olá, equipe da VedaSanta Vedações e Retentores,
Estou entrando em contato porque a atuação da VedaSanta Vedações e Retentores em vedações tem boa aderência ao tipo de fabricação especial que realizamos na Parts Seals.
Em Joinville/SC, cadeias como metalmecânico, máquinas, fundição, plástico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01" s="43" t="str">
        <x:v>Olá, equipe da VedaSanta Vedações e Retentores,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01" s="43" t="str">
        <x:v>Olá, equipe da VedaSanta Vedações e Retentores,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01" s="43" t="str">
        <x:v>Vocês recebem consultas de peças especiais que acabam sem atendimento por prazo, material, quantidade ou ausência de desenho?</x:v>
      </x:c>
      <x:c r="Z201" s="43" t="str">
        <x:v>Este contato foi direcionado a um canal corporativo público por possível aderência entre as atividades das empresas. Para não receber novas mensagens da Parts Seals, responda com REMOVER.</x:v>
      </x:c>
      <x:c r="AA201" s="43" t="str">
        <x:v>Sem e-mail</x:v>
      </x:c>
      <x:c r="AB201" s="43" t="str">
        <x:v>Não</x:v>
      </x:c>
      <x:c r="AC201" s="44"/>
      <x:c r="AD201" s="44"/>
      <x:c r="AE201" s="44"/>
      <x:c r="AF201" s="44"/>
      <x:c r="AG201" s="43"/>
      <x:c r="AH201" s="43"/>
      <x:c r="AI201" s="43" t="str">
        <x:v>Não</x:v>
      </x:c>
      <x:c r="AJ201" s="43"/>
      <x:c r="AK201" s="43"/>
      <x:c r="AL201" s="43" t="str">
        <x:v>https://perfildaindustria.portaldaindustria.com.br/estado/tudo/sc</x:v>
      </x:c>
      <x:c r="AM201" s="43" t="str">
        <x:v>Não localizado em fonte pública confiável até 24/07/2026</x:v>
      </x:c>
      <x:c r="AN201" s="43" t="str">
        <x:v>Pesquise a empresa VedaSanta Vedações e Retentores, de Joinville/SC,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01" s="43" t="str">
        <x:v>2026-07-24 v1</x:v>
      </x:c>
    </x:row>
    <x:row r="202" ht="72" customHeight="1">
      <x:c r="A202" s="43" t="n">
        <x:v>201</x:v>
      </x:c>
      <x:c r="B202" s="43" t="str">
        <x:v>Voga Vedabrás - Joinville</x:v>
      </x:c>
      <x:c r="C202" s="43" t="str">
        <x:v>Distribuidor Vedabrás</x:v>
      </x:c>
      <x:c r="D202" s="43" t="str">
        <x:v>Joinville</x:v>
      </x:c>
      <x:c r="E202" s="43" t="str">
        <x:v>SC</x:v>
      </x:c>
      <x:c r="F202" s="43" t="str">
        <x:v>Sul</x:v>
      </x:c>
      <x:c r="G202" s="43" t="str">
        <x:v>A - Alta</x:v>
      </x:c>
      <x:c r="H202" s="43" t="str">
        <x:v>Não contatado</x:v>
      </x:c>
      <x:c r="I202" s="43" t="str">
        <x:v>tiago@vogavedabras.com.br</x:v>
      </x:c>
      <x:c r="J202" s="43" t="str">
        <x:v>https://www.skf.com/binaries/pub330/Images/Distribuidores-Autorizados-IM-SKF-01-22_tcm_330-565060.pdf</x:v>
      </x:c>
      <x:c r="K202" s="43" t="str">
        <x:v>Sim</x:v>
      </x:c>
      <x:c r="L202" s="43" t="str">
        <x:v>distribuidor de vedações de linha</x:v>
      </x:c>
      <x:c r="M202" s="43" t="str">
        <x:v>metalmecânico, máquinas, fundição, plástico e manutenção industrial</x:v>
      </x:c>
      <x:c r="N202" s="43" t="str">
        <x:v>medidas especiais, itens fora de catálogo e reposições urgentes</x:v>
      </x:c>
      <x:c r="O202" s="43" t="str">
        <x:v>peças em PTFE, PU, NBR e FKM sob medida</x:v>
      </x:c>
      <x:c r="P202" s="43" t="str">
        <x:v>complementar a linha Vedabrás em demandas especiais e pequenas séries</x:v>
      </x:c>
      <x:c r="Q202" s="43" t="str">
        <x:v>Segmento da base: Distribuidor Vedabrás; localização: Joinville/SC; contexto industrial regional usado apenas como hipótese comercial. Contato publicado em documento de fabricante ou distribuidor. Nenhuma afirmação sobre clientes ou aplicações específicas da empresa foi feita sem fonte.</x:v>
      </x:c>
      <x:c r="R202" s="43" t="str">
        <x:v>Moderada</x:v>
      </x:c>
      <x:c r="S202" s="43" t="str">
        <x:v>Sim</x:v>
      </x:c>
      <x:c r="T202" s="43" t="str">
        <x:v>Possível parceria técnica — Voga Vedabrás - Joinville e Parts Seals</x:v>
      </x:c>
      <x:c r="U202" s="43" t="str">
        <x:v>Olá, equipe da Voga Vedabrás - Joinville,</x:v>
      </x:c>
      <x:c r="V202" s="43" t="str">
        <x:v>Olá, equipe da Voga Vedabrás - Joinville,
Ao analisar o perfil da Voga Vedabrás - Joinville em Joinville, identifiquei uma possibilidade de parceria para demandas de vedação que não se encaixam bem em linhas padronizadas.
Em Joinville/SC, cadeias como metalmecânico, máquinas, fundição, plástico e manutenção industrial costumam gerar solicitações de vedações especiais, principalmente quando há pressão, desgaste, ataque químico, temperatura ou dificuldade de reposição. Para o perfil de distribuidor de vedações de linha, vemos maior aderência em medidas especiais, itens fora de catálogo e reposições urgentes.
A Parts Seals pode apoiar com peças em PTFE, PU, NBR e FKM sob medida. A seleção final do material é validada conforme a aplicação; para as demandas mais comuns da região, vale avaliar especialmente PU, NBR, PTFE e FKM. Nosso objetivo é complementar a linha Vedabrás em demandas especiais e pequenas séries.
Há medidas ou materiais que seus clientes pedem e que não estão disponíveis na linha regular?
Posso encaminhar uma apresentação curta ou avaliar um item real, sem compromisso?
Atenciosamente,
{{NOME_REMETENTE}}
Parts Seals Vedações Industriais
{{TELEFONE_REMETENTE}} | {{SITE_REMETENTE}}</x:v>
      </x:c>
      <x:c r="W202" s="43" t="str">
        <x:v>Olá, equipe da Voga Vedabrás - Joinville,
Retomando meu contato: pelo perfil de distribuidor vedabrás de vocês, acredito que podemos apoiar principalmente em medidas especiais, itens fora de catálogo e reposições urgentes.
Se tiverem uma medida, desenho ou foto de um item difícil de localizar, podemos fazer uma análise inicial e indicar o material mais adequado. Há algum caso em aberto que possamos avaliar?
Atenciosamente,
{{NOME_REMETENTE}}
Parts Seals Vedações Industriais</x:v>
      </x:c>
      <x:c r="X202" s="43" t="str">
        <x:v>Olá, equipe da Voga Vedabrás - Joinville,
Encerrando meu contato para não insistir. Caso surja alguma demanda de medidas especiais, itens fora de catálogo e reposições urgentes,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02" s="43" t="str">
        <x:v>Há medidas ou materiais que seus clientes pedem e que não estão disponíveis na linha regular?</x:v>
      </x:c>
      <x:c r="Z202" s="43" t="str">
        <x:v>Este contato foi direcionado a um canal corporativo público por possível aderência entre as atividades das empresas. Para não receber novas mensagens da Parts Seals, responda com REMOVER.</x:v>
      </x:c>
      <x:c r="AA202" s="43" t="str">
        <x:v>Aguardando aprovação</x:v>
      </x:c>
      <x:c r="AB202" s="43" t="str">
        <x:v>Não</x:v>
      </x:c>
      <x:c r="AC202" s="44"/>
      <x:c r="AD202" s="44"/>
      <x:c r="AE202" s="44"/>
      <x:c r="AF202" s="44"/>
      <x:c r="AG202" s="43"/>
      <x:c r="AH202" s="43"/>
      <x:c r="AI202" s="43" t="str">
        <x:v>Não</x:v>
      </x:c>
      <x:c r="AJ202" s="43"/>
      <x:c r="AK202" s="43"/>
      <x:c r="AL202" s="43" t="str">
        <x:v>https://perfildaindustria.portaldaindustria.com.br/estado/tudo/sc</x:v>
      </x:c>
      <x:c r="AM202" s="43" t="str">
        <x:v>https://www.skf.com/binaries/pub330/Images/Distribuidores-Autorizados-IM-SKF-01-22_tcm_330-565060.pdf</x:v>
      </x:c>
      <x:c r="AN202" s="43" t="str">
        <x:v>Pesquise a empresa Voga Vedabrás - Joinville, de Joinville/SC,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02" s="43" t="str">
        <x:v>2026-07-24 v1</x:v>
      </x:c>
    </x:row>
    <x:row r="203" ht="72" customHeight="1">
      <x:c r="A203" s="43" t="n">
        <x:v>202</x:v>
      </x:c>
      <x:c r="B203" s="43" t="str">
        <x:v>Recopeças Ind. e Com. de Peças e Equipamentos</x:v>
      </x:c>
      <x:c r="C203" s="43" t="str">
        <x:v>Vedações</x:v>
      </x:c>
      <x:c r="D203" s="43" t="str">
        <x:v>São José</x:v>
      </x:c>
      <x:c r="E203" s="43" t="str">
        <x:v>SC</x:v>
      </x:c>
      <x:c r="F203" s="43" t="str">
        <x:v>Sul</x:v>
      </x:c>
      <x:c r="G203" s="43" t="str">
        <x:v>A - Alta</x:v>
      </x:c>
      <x:c r="H203" s="43" t="str">
        <x:v>Não contatado</x:v>
      </x:c>
      <x:c r="I203" s="43"/>
      <x:c r="J203" s="43" t="str">
        <x:v>Não localizado em fonte pública confiável até 24/07/2026</x:v>
      </x:c>
      <x:c r="K203" s="43" t="str">
        <x:v>Não</x:v>
      </x:c>
      <x:c r="L203" s="43" t="str">
        <x:v>especialista ou revenda de vedações industriais</x:v>
      </x:c>
      <x:c r="M203" s="43" t="str">
        <x:v>metalmecânico, máquinas, alimentos, têxtil e plástico</x:v>
      </x:c>
      <x:c r="N203" s="43" t="str">
        <x:v>gaxetas, raspadores, anéis guia, vedações de haste e pistão, retentores especiais e reposições fora de linha</x:v>
      </x:c>
      <x:c r="O203" s="43" t="str">
        <x:v>peças sob medida em PTFE puro ou carregado, poliuretano, NBR, FKM, nylon e outros materiais técnicos</x:v>
      </x:c>
      <x:c r="P203" s="43" t="str">
        <x:v>complementar o portfólio com itens especiais, pequenas e médias séries, urgências e fabricação por desenho ou amostra</x:v>
      </x:c>
      <x:c r="Q203" s="43" t="str">
        <x:v>Segmento da base: Vedações; localização: São José/SC; contexto industrial regional usado apenas como hipótese comercial. Sem e-mail público localizado. Nenhuma afirmação sobre clientes ou aplicações específicas da empresa foi feita sem fonte.</x:v>
      </x:c>
      <x:c r="R203" s="43" t="str">
        <x:v>Baixa</x:v>
      </x:c>
      <x:c r="S203" s="43" t="str">
        <x:v>Sim</x:v>
      </x:c>
      <x:c r="T203" s="43" t="str">
        <x:v>Apoio em vedações sob medida para a Recopeças Ind. e Com. de Peças e Equipamentos</x:v>
      </x:c>
      <x:c r="U203" s="43" t="str">
        <x:v>Olá, equipe da Recopeças Ind. e Com. de Peças e Equipamentos,</x:v>
      </x:c>
      <x:c r="V203" s="43" t="str">
        <x:v>Olá, equipe da Recopeças Ind. e Com. de Peças e Equipamentos,
A Parts Seals está ampliando parcerias com empresas técnicas do setor, e o perfil da Recopeças Ind. e Com. de Peças e Equipamentos chamou nossa atenção pela atuação em vedações.
Em São José/SC, cadeias como metalmecânico, máquinas, alimentos, têxtil e plástico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NBR,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03" s="43" t="str">
        <x:v>Olá, equipe da Recopeças Ind. e Com. de Peças e Equipamentos,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03" s="43" t="str">
        <x:v>Olá, equipe da Recopeças Ind. e Com. de Peças e Equipamentos,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03" s="43" t="str">
        <x:v>Vocês recebem consultas de peças especiais que acabam sem atendimento por prazo, material, quantidade ou ausência de desenho?</x:v>
      </x:c>
      <x:c r="Z203" s="43" t="str">
        <x:v>Este contato foi direcionado a um canal corporativo público por possível aderência entre as atividades das empresas. Para não receber novas mensagens da Parts Seals, responda com REMOVER.</x:v>
      </x:c>
      <x:c r="AA203" s="43" t="str">
        <x:v>Sem e-mail</x:v>
      </x:c>
      <x:c r="AB203" s="43" t="str">
        <x:v>Não</x:v>
      </x:c>
      <x:c r="AC203" s="44"/>
      <x:c r="AD203" s="44"/>
      <x:c r="AE203" s="44"/>
      <x:c r="AF203" s="44"/>
      <x:c r="AG203" s="43"/>
      <x:c r="AH203" s="43"/>
      <x:c r="AI203" s="43" t="str">
        <x:v>Não</x:v>
      </x:c>
      <x:c r="AJ203" s="43"/>
      <x:c r="AK203" s="43"/>
      <x:c r="AL203" s="43" t="str">
        <x:v>https://perfildaindustria.portaldaindustria.com.br/estado/tudo/sc</x:v>
      </x:c>
      <x:c r="AM203" s="43" t="str">
        <x:v>Não localizado em fonte pública confiável até 24/07/2026</x:v>
      </x:c>
      <x:c r="AN203" s="43" t="str">
        <x:v>Pesquise a empresa Recopeças Ind. e Com. de Peças e Equipamentos, de São José/SC,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03" s="43" t="str">
        <x:v>2026-07-24 v1</x:v>
      </x:c>
    </x:row>
    <x:row r="204" ht="72" customHeight="1">
      <x:c r="A204" s="43" t="n">
        <x:v>203</x:v>
      </x:c>
      <x:c r="B204" s="43" t="str">
        <x:v>Brasília Vedações</x:v>
      </x:c>
      <x:c r="C204" s="43" t="str">
        <x:v>Vedações</x:v>
      </x:c>
      <x:c r="D204" s="43" t="str">
        <x:v>Brasília</x:v>
      </x:c>
      <x:c r="E204" s="43" t="str">
        <x:v>DF</x:v>
      </x:c>
      <x:c r="F204" s="43" t="str">
        <x:v>Centro-Oeste</x:v>
      </x:c>
      <x:c r="G204" s="43" t="str">
        <x:v>B - Média</x:v>
      </x:c>
      <x:c r="H204" s="43" t="str">
        <x:v>Não contatado</x:v>
      </x:c>
      <x:c r="I204" s="43"/>
      <x:c r="J204" s="43" t="str">
        <x:v>Não localizado em fonte pública confiável até 24/07/2026</x:v>
      </x:c>
      <x:c r="K204" s="43" t="str">
        <x:v>Não</x:v>
      </x:c>
      <x:c r="L204" s="43" t="str">
        <x:v>especialista ou revenda de vedações industriais</x:v>
      </x:c>
      <x:c r="M204" s="43" t="str">
        <x:v>manutenção predial e industrial, alimentos, logística e serviços técnicos</x:v>
      </x:c>
      <x:c r="N204" s="43" t="str">
        <x:v>gaxetas, raspadores, anéis guia, vedações de haste e pistão, retentores especiais e reposições fora de linha</x:v>
      </x:c>
      <x:c r="O204" s="43" t="str">
        <x:v>peças sob medida em PTFE puro ou carregado, poliuretano, NBR, FKM, nylon e outros materiais técnicos</x:v>
      </x:c>
      <x:c r="P204" s="43" t="str">
        <x:v>complementar o portfólio com itens especiais, pequenas e médias séries, urgências e fabricação por desenho ou amostra</x:v>
      </x:c>
      <x:c r="Q204" s="43" t="str">
        <x:v>Segmento da base: Vedações; localização: Brasília/DF; contexto industrial regional usado apenas como hipótese comercial. Sem e-mail público localizado. Nenhuma afirmação sobre clientes ou aplicações específicas da empresa foi feita sem fonte.</x:v>
      </x:c>
      <x:c r="R204" s="43" t="str">
        <x:v>Baixa</x:v>
      </x:c>
      <x:c r="S204" s="43" t="str">
        <x:v>Sim</x:v>
      </x:c>
      <x:c r="T204" s="43" t="str">
        <x:v>Demandas fora de catálogo na Brasília Vedações</x:v>
      </x:c>
      <x:c r="U204" s="43" t="str">
        <x:v>Olá, equipe da Brasília Vedações,</x:v>
      </x:c>
      <x:c r="V204" s="43" t="str">
        <x:v>Olá, equipe da Brasília Vedações,
Gostaria de apresentar uma possibilidade de apoio complementar à Brasília Vedações para peças especiais, urgências e reposições fora de catálogo.
Em Brasília/DF, cadeias como manutenção predial e industrial, alimentos, logística e serviços técnicos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04" s="43" t="str">
        <x:v>Olá, equipe da Brasília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04" s="43" t="str">
        <x:v>Olá, equipe da Brasília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04" s="43" t="str">
        <x:v>Vocês recebem consultas de peças especiais que acabam sem atendimento por prazo, material, quantidade ou ausência de desenho?</x:v>
      </x:c>
      <x:c r="Z204" s="43" t="str">
        <x:v>Este contato foi direcionado a um canal corporativo público por possível aderência entre as atividades das empresas. Para não receber novas mensagens da Parts Seals, responda com REMOVER.</x:v>
      </x:c>
      <x:c r="AA204" s="43" t="str">
        <x:v>Sem e-mail</x:v>
      </x:c>
      <x:c r="AB204" s="43" t="str">
        <x:v>Não</x:v>
      </x:c>
      <x:c r="AC204" s="44"/>
      <x:c r="AD204" s="44"/>
      <x:c r="AE204" s="44"/>
      <x:c r="AF204" s="44"/>
      <x:c r="AG204" s="43"/>
      <x:c r="AH204" s="43"/>
      <x:c r="AI204" s="43" t="str">
        <x:v>Não</x:v>
      </x:c>
      <x:c r="AJ204" s="43"/>
      <x:c r="AK204" s="43"/>
      <x:c r="AL204" s="43" t="str">
        <x:v>https://perfildaindustria.portaldaindustria.com.br/estado/tudo/df</x:v>
      </x:c>
      <x:c r="AM204" s="43" t="str">
        <x:v>Não localizado em fonte pública confiável até 24/07/2026</x:v>
      </x:c>
      <x:c r="AN204" s="43" t="str">
        <x:v>Pesquise a empresa Brasília Vedações, de Brasília/DF,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04" s="43" t="str">
        <x:v>2026-07-24 v1</x:v>
      </x:c>
    </x:row>
    <x:row r="205" ht="72" customHeight="1">
      <x:c r="A205" s="43" t="n">
        <x:v>204</x:v>
      </x:c>
      <x:c r="B205" s="43" t="str">
        <x:v>Global Soluções Industriais em Vedações</x:v>
      </x:c>
      <x:c r="C205" s="43" t="str">
        <x:v>Fabricante/Vedações</x:v>
      </x:c>
      <x:c r="D205" s="43" t="str">
        <x:v>Goiânia</x:v>
      </x:c>
      <x:c r="E205" s="43" t="str">
        <x:v>GO</x:v>
      </x:c>
      <x:c r="F205" s="43" t="str">
        <x:v>Centro-Oeste</x:v>
      </x:c>
      <x:c r="G205" s="43" t="str">
        <x:v>Sem dados - qualificar</x:v>
      </x:c>
      <x:c r="H205" s="43" t="str">
        <x:v>Não contatado</x:v>
      </x:c>
      <x:c r="I205" s="43"/>
      <x:c r="J205" s="43" t="str">
        <x:v>Não localizado em fonte pública confiável até 24/07/2026</x:v>
      </x:c>
      <x:c r="K205" s="43" t="str">
        <x:v>Não</x:v>
      </x:c>
      <x:c r="L205" s="43" t="str">
        <x:v>fabricante ou transformador especializado em vedações</x:v>
      </x:c>
      <x:c r="M205" s="43" t="str">
        <x:v>agroindústria, alimentos, mineração e manutenção de equipamentos</x:v>
      </x:c>
      <x:c r="N205" s="43" t="str">
        <x:v>itens fora de padrão, picos de demanda, protótipos, reposições urgentes e lotes que exigem processo ou material específico</x:v>
      </x:c>
      <x:c r="O205" s="43" t="str">
        <x:v>componentes usinados e moldados em PTFE puro ou carregado, PU, NBR, FKM e materiais técnicos, conforme desenho ou amostra</x:v>
      </x:c>
      <x:c r="P205" s="43" t="str">
        <x:v>atuar como apoio produtivo complementar, preservando a relação comercial de vocês com o cliente final</x:v>
      </x:c>
      <x:c r="Q205" s="43" t="str">
        <x:v>Segmento da base: Fabricante/Vedações; localização: Goiânia/GO; contexto industrial regional usado apenas como hipótese comercial. Sem e-mail público localizado. Nenhuma afirmação sobre clientes ou aplicações específicas da empresa foi feita sem fonte.</x:v>
      </x:c>
      <x:c r="R205" s="43" t="str">
        <x:v>Baixa</x:v>
      </x:c>
      <x:c r="S205" s="43" t="str">
        <x:v>Sim</x:v>
      </x:c>
      <x:c r="T205" s="43" t="str">
        <x:v>Apoio produtivo para itens especiais — Global Soluções Industriais em Vedações</x:v>
      </x:c>
      <x:c r="U205" s="43" t="str">
        <x:v>Olá, equipe da Global Soluções Industriais em Vedações,</x:v>
      </x:c>
      <x:c r="V205" s="43" t="str">
        <x:v>Olá, equipe da Global Soluções Industriais em Vedações,
Estou entrando em contato porque a atuação da Global Soluções Industriais em Vedações em fabricante/vedações tem boa aderência ao tipo de fabricação especial que realizamos na Parts Seals.
Em Goiânia/GO, cadeias como agroindústria, alimentos, mineração e manutenção de equipamentos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NBR, PU,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205" s="43" t="str">
        <x:v>Olá, equipe da Global Soluções Industriais em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205" s="43" t="str">
        <x:v>Olá, equipe da Global Soluções Industriais em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05" s="43" t="str">
        <x:v>Existe hoje algum item especial, urgente ou de baixa quantidade que esteja ocupando capacidade ou ficando sem atendimento?</x:v>
      </x:c>
      <x:c r="Z205" s="43" t="str">
        <x:v>Este contato foi direcionado a um canal corporativo público por possível aderência entre as atividades das empresas. Para não receber novas mensagens da Parts Seals, responda com REMOVER.</x:v>
      </x:c>
      <x:c r="AA205" s="43" t="str">
        <x:v>Sem e-mail</x:v>
      </x:c>
      <x:c r="AB205" s="43" t="str">
        <x:v>Não</x:v>
      </x:c>
      <x:c r="AC205" s="44"/>
      <x:c r="AD205" s="44"/>
      <x:c r="AE205" s="44"/>
      <x:c r="AF205" s="44"/>
      <x:c r="AG205" s="43"/>
      <x:c r="AH205" s="43"/>
      <x:c r="AI205" s="43" t="str">
        <x:v>Não</x:v>
      </x:c>
      <x:c r="AJ205" s="43"/>
      <x:c r="AK205" s="43"/>
      <x:c r="AL205" s="43" t="str">
        <x:v>https://perfildaindustria.portaldaindustria.com.br/estado/tudo/go</x:v>
      </x:c>
      <x:c r="AM205" s="43" t="str">
        <x:v>Não localizado em fonte pública confiável até 24/07/2026</x:v>
      </x:c>
      <x:c r="AN205" s="43" t="str">
        <x:v>Pesquise a empresa Global Soluções Industriais em Vedações, de Goiânia/GO,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05" s="43" t="str">
        <x:v>2026-07-24 v1</x:v>
      </x:c>
    </x:row>
    <x:row r="206" ht="72" customHeight="1">
      <x:c r="A206" s="43" t="n">
        <x:v>205</x:v>
      </x:c>
      <x:c r="B206" s="43" t="str">
        <x:v>Goiânia Vedações</x:v>
      </x:c>
      <x:c r="C206" s="43" t="str">
        <x:v>Vedações</x:v>
      </x:c>
      <x:c r="D206" s="43" t="str">
        <x:v>Goiânia</x:v>
      </x:c>
      <x:c r="E206" s="43" t="str">
        <x:v>GO</x:v>
      </x:c>
      <x:c r="F206" s="43" t="str">
        <x:v>Centro-Oeste</x:v>
      </x:c>
      <x:c r="G206" s="43" t="str">
        <x:v>B - Média</x:v>
      </x:c>
      <x:c r="H206" s="43" t="str">
        <x:v>Não contatado</x:v>
      </x:c>
      <x:c r="I206" s="43"/>
      <x:c r="J206" s="43" t="str">
        <x:v>Não localizado em fonte pública confiável até 24/07/2026</x:v>
      </x:c>
      <x:c r="K206" s="43" t="str">
        <x:v>Não</x:v>
      </x:c>
      <x:c r="L206" s="43" t="str">
        <x:v>especialista ou revenda de vedações industriais</x:v>
      </x:c>
      <x:c r="M206" s="43" t="str">
        <x:v>agroindústria, alimentos, mineração e manutenção de equipamentos</x:v>
      </x:c>
      <x:c r="N206" s="43" t="str">
        <x:v>gaxetas, raspadores, anéis guia, vedações de haste e pistão, retentores especiais e reposições fora de linha</x:v>
      </x:c>
      <x:c r="O206" s="43" t="str">
        <x:v>peças sob medida em PTFE puro ou carregado, poliuretano, NBR, FKM, nylon e outros materiais técnicos</x:v>
      </x:c>
      <x:c r="P206" s="43" t="str">
        <x:v>complementar o portfólio com itens especiais, pequenas e médias séries, urgências e fabricação por desenho ou amostra</x:v>
      </x:c>
      <x:c r="Q206" s="43" t="str">
        <x:v>Segmento da base: Vedações; localização: Goiânia/GO; contexto industrial regional usado apenas como hipótese comercial. Sem e-mail público localizado. Nenhuma afirmação sobre clientes ou aplicações específicas da empresa foi feita sem fonte.</x:v>
      </x:c>
      <x:c r="R206" s="43" t="str">
        <x:v>Baixa</x:v>
      </x:c>
      <x:c r="S206" s="43" t="str">
        <x:v>Sim</x:v>
      </x:c>
      <x:c r="T206" s="43" t="str">
        <x:v>Possível parceria técnica — Goiânia Vedações e Parts Seals</x:v>
      </x:c>
      <x:c r="U206" s="43" t="str">
        <x:v>Olá, equipe da Goiânia Vedações,</x:v>
      </x:c>
      <x:c r="V206" s="43" t="str">
        <x:v>Olá, equipe da Goiânia Vedações,
Ao analisar o perfil da Goiânia Vedações em Goiânia, identifiquei uma possibilidade de parceria para demandas de vedação que não se encaixam bem em linhas padronizadas.
Em Goiânia/GO, cadeias como agroindústria, alimentos, mineração e manutenção de equipamentos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06" s="43" t="str">
        <x:v>Olá, equipe da Goiânia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06" s="43" t="str">
        <x:v>Olá, equipe da Goiânia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06" s="43" t="str">
        <x:v>Vocês recebem consultas de peças especiais que acabam sem atendimento por prazo, material, quantidade ou ausência de desenho?</x:v>
      </x:c>
      <x:c r="Z206" s="43" t="str">
        <x:v>Este contato foi direcionado a um canal corporativo público por possível aderência entre as atividades das empresas. Para não receber novas mensagens da Parts Seals, responda com REMOVER.</x:v>
      </x:c>
      <x:c r="AA206" s="43" t="str">
        <x:v>Sem e-mail</x:v>
      </x:c>
      <x:c r="AB206" s="43" t="str">
        <x:v>Não</x:v>
      </x:c>
      <x:c r="AC206" s="44"/>
      <x:c r="AD206" s="44"/>
      <x:c r="AE206" s="44"/>
      <x:c r="AF206" s="44"/>
      <x:c r="AG206" s="43"/>
      <x:c r="AH206" s="43"/>
      <x:c r="AI206" s="43" t="str">
        <x:v>Não</x:v>
      </x:c>
      <x:c r="AJ206" s="43"/>
      <x:c r="AK206" s="43"/>
      <x:c r="AL206" s="43" t="str">
        <x:v>https://perfildaindustria.portaldaindustria.com.br/estado/tudo/go</x:v>
      </x:c>
      <x:c r="AM206" s="43" t="str">
        <x:v>Não localizado em fonte pública confiável até 24/07/2026</x:v>
      </x:c>
      <x:c r="AN206" s="43" t="str">
        <x:v>Pesquise a empresa Goiânia Vedações, de Goiânia/GO,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06" s="43" t="str">
        <x:v>2026-07-24 v1</x:v>
      </x:c>
    </x:row>
    <x:row r="207" ht="72" customHeight="1">
      <x:c r="A207" s="43" t="n">
        <x:v>206</x:v>
      </x:c>
      <x:c r="B207" s="43" t="str">
        <x:v>Reis Vedações</x:v>
      </x:c>
      <x:c r="C207" s="43" t="str">
        <x:v>Hidráulica/Vedações</x:v>
      </x:c>
      <x:c r="D207" s="43" t="str">
        <x:v>Goiânia</x:v>
      </x:c>
      <x:c r="E207" s="43" t="str">
        <x:v>GO</x:v>
      </x:c>
      <x:c r="F207" s="43" t="str">
        <x:v>Centro-Oeste</x:v>
      </x:c>
      <x:c r="G207" s="43" t="str">
        <x:v>C - Baixa</x:v>
      </x:c>
      <x:c r="H207" s="43" t="str">
        <x:v>Não contatado</x:v>
      </x:c>
      <x:c r="I207" s="43"/>
      <x:c r="J207" s="43" t="str">
        <x:v>Não localizado em fonte pública confiável até 24/07/2026</x:v>
      </x:c>
      <x:c r="K207" s="43" t="str">
        <x:v>Não</x:v>
      </x:c>
      <x:c r="L207" s="43" t="str">
        <x:v>fornecedor de componentes hidráulicos e vedações</x:v>
      </x:c>
      <x:c r="M207" s="43" t="str">
        <x:v>agroindústria, alimentos, mineração e manutenção de equipamentos</x:v>
      </x:c>
      <x:c r="N207" s="43" t="str">
        <x:v>gaxetas de haste e pistão, raspadores, anéis guia, vedações rotativas e kits para cilindros hidráulicos</x:v>
      </x:c>
      <x:c r="O207" s="43" t="str">
        <x:v>vedações em PU, PTFE puro ou carregado, NBR e FKM, dimensionadas conforme pressão, velocidade, fluido e temperatura</x:v>
      </x:c>
      <x:c r="P207" s="43" t="str">
        <x:v>apoiar reformas e montagens com peças não padronizadas, reposições antigas e fabricação rápida por amostra ou desenho</x:v>
      </x:c>
      <x:c r="Q207" s="43" t="str">
        <x:v>Segmento da base: Hidráulica/Vedações; localização: Goiânia/GO; contexto industrial regional usado apenas como hipótese comercial. Sem e-mail público localizado. Nenhuma afirmação sobre clientes ou aplicações específicas da empresa foi feita sem fonte.</x:v>
      </x:c>
      <x:c r="R207" s="43" t="str">
        <x:v>Baixa</x:v>
      </x:c>
      <x:c r="S207" s="43" t="str">
        <x:v>Sim</x:v>
      </x:c>
      <x:c r="T207" s="43" t="str">
        <x:v>Gaxetas, raspadores e anéis guia sob medida</x:v>
      </x:c>
      <x:c r="U207" s="43" t="str">
        <x:v>Olá, equipe da Reis Vedações,</x:v>
      </x:c>
      <x:c r="V207" s="43" t="str">
        <x:v>Olá, equipe da Reis Vedações,
A Parts Seals está ampliando parcerias com empresas técnicas do setor, e o perfil da Reis Vedações chamou nossa atenção pela atuação em hidráulica/vedações.
Em Goiânia/GO, cadeias como agroindústria, alimentos, mineração e manutenção de equipamentos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NBR, PU,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207" s="43" t="str">
        <x:v>Olá, equipe da Reis Vedações,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207" s="43" t="str">
        <x:v>Olá, equipe da Reis Vedações,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07" s="43" t="str">
        <x:v>Há cilindros ou equipamentos para os quais vocês têm dificuldade de localizar a vedação correta ou cumprir o prazo do cliente?</x:v>
      </x:c>
      <x:c r="Z207" s="43" t="str">
        <x:v>Este contato foi direcionado a um canal corporativo público por possível aderência entre as atividades das empresas. Para não receber novas mensagens da Parts Seals, responda com REMOVER.</x:v>
      </x:c>
      <x:c r="AA207" s="43" t="str">
        <x:v>Sem e-mail</x:v>
      </x:c>
      <x:c r="AB207" s="43" t="str">
        <x:v>Não</x:v>
      </x:c>
      <x:c r="AC207" s="44"/>
      <x:c r="AD207" s="44"/>
      <x:c r="AE207" s="44"/>
      <x:c r="AF207" s="44"/>
      <x:c r="AG207" s="43"/>
      <x:c r="AH207" s="43"/>
      <x:c r="AI207" s="43" t="str">
        <x:v>Não</x:v>
      </x:c>
      <x:c r="AJ207" s="43"/>
      <x:c r="AK207" s="43"/>
      <x:c r="AL207" s="43" t="str">
        <x:v>https://perfildaindustria.portaldaindustria.com.br/estado/tudo/go</x:v>
      </x:c>
      <x:c r="AM207" s="43" t="str">
        <x:v>Não localizado em fonte pública confiável até 24/07/2026</x:v>
      </x:c>
      <x:c r="AN207" s="43" t="str">
        <x:v>Pesquise a empresa Reis Vedações, de Goiânia/GO,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07" s="43" t="str">
        <x:v>2026-07-24 v1</x:v>
      </x:c>
    </x:row>
    <x:row r="208" ht="72" customHeight="1">
      <x:c r="A208" s="43" t="n">
        <x:v>207</x:v>
      </x:c>
      <x:c r="B208" s="43" t="str">
        <x:v>Suprema Distribuidora de Vedações e Comp. Hidráulicos</x:v>
      </x:c>
      <x:c r="C208" s="43" t="str">
        <x:v>Distribuidora</x:v>
      </x:c>
      <x:c r="D208" s="43" t="str">
        <x:v>Goiânia</x:v>
      </x:c>
      <x:c r="E208" s="43" t="str">
        <x:v>GO</x:v>
      </x:c>
      <x:c r="F208" s="43" t="str">
        <x:v>Centro-Oeste</x:v>
      </x:c>
      <x:c r="G208" s="43" t="str">
        <x:v>B - Média</x:v>
      </x:c>
      <x:c r="H208" s="43" t="str">
        <x:v>Não contatado</x:v>
      </x:c>
      <x:c r="I208" s="43"/>
      <x:c r="J208" s="43" t="str">
        <x:v>Não localizado em fonte pública confiável até 24/07/2026</x:v>
      </x:c>
      <x:c r="K208" s="43" t="str">
        <x:v>Não</x:v>
      </x:c>
      <x:c r="L208" s="43" t="str">
        <x:v>distribuidor de componentes industriais</x:v>
      </x:c>
      <x:c r="M208" s="43" t="str">
        <x:v>agroindústria, alimentos, mineração e manutenção de equipamentos</x:v>
      </x:c>
      <x:c r="N208" s="43" t="str">
        <x:v>reposições industriais, itens fora de linha, medidas especiais e demandas de manutenção</x:v>
      </x:c>
      <x:c r="O208" s="43" t="str">
        <x:v>vedações e componentes sob medida em PTFE, PU, NBR, FKM e materiais técnicos</x:v>
      </x:c>
      <x:c r="P208" s="43" t="str">
        <x:v>complementar o portfólio sem necessidade de estoque amplo, produzindo por desenho ou amostra</x:v>
      </x:c>
      <x:c r="Q208" s="43" t="str">
        <x:v>Segmento da base: Distribuidora; localização: Goiânia/GO; contexto industrial regional usado apenas como hipótese comercial. Sem e-mail público localizado. Nenhuma afirmação sobre clientes ou aplicações específicas da empresa foi feita sem fonte.</x:v>
      </x:c>
      <x:c r="R208" s="43" t="str">
        <x:v>Baixa</x:v>
      </x:c>
      <x:c r="S208" s="43" t="str">
        <x:v>Sim</x:v>
      </x:c>
      <x:c r="T208" s="43" t="str">
        <x:v>Demandas fora de catálogo na Suprema Distribuidora de Vedações e Comp. Hidráulicos</x:v>
      </x:c>
      <x:c r="U208" s="43" t="str">
        <x:v>Olá, equipe da Suprema Distribuidora de Vedações e Comp. Hidráulicos,</x:v>
      </x:c>
      <x:c r="V208" s="43" t="str">
        <x:v>Olá, equipe da Suprema Distribuidora de Vedações e Comp. Hidráulicos,
Gostaria de apresentar uma possibilidade de apoio complementar à Suprema Distribuidora de Vedações e Comp. Hidráulicos para peças especiais, urgências e reposições fora de catálogo.
Em Goiânia/GO, cadeias como agroindústria, alimentos, mineração e manutenção de equipamentos costumam gerar solicitações de vedações especiais, principalmente quando há pressão, desgaste, ataque químico, temperatura ou dificuldade de reposição. Para o perfil de distribuidor de componentes industriais, vemos maior aderência em reposições industriais, itens fora de linha, medidas especiais e demandas de manutenção.
A Parts Seals pode apoiar com vedações e componentes sob medida em PTFE, PU, NBR, FKM e materiais técnicos. A seleção final do material é validada conforme a aplicação; para as demandas mais comuns da região, vale avaliar especialmente NBR, PU, PTFE e FKM. Nosso objetivo é complementar o portfólio sem necessidade de estoque amplo, produzindo por desenho ou amostra.
Há famílias de vedações que seus clientes solicitam, mas que hoje ficam fora do portfólio por baixa recorrência?
Posso encaminhar uma apresentação curta ou avaliar um item real, sem compromisso?
Atenciosamente,
{{NOME_REMETENTE}}
Parts Seals Vedações Industriais
{{TELEFONE_REMETENTE}} | {{SITE_REMETENTE}}</x:v>
      </x:c>
      <x:c r="W208" s="43" t="str">
        <x:v>Olá, equipe da Suprema Distribuidora de Vedações e Comp. Hidráulicos,
Retomando meu contato: pelo perfil de distribuidora de vocês, acredito que podemos apoiar principalmente em reposições industriais, itens fora de linha, medidas especiais e demandas de manutenção.
Se tiverem uma medida, desenho ou foto de um item difícil de localizar, podemos fazer uma análise inicial e indicar o material mais adequado. Há algum caso em aberto que possamos avaliar?
Atenciosamente,
{{NOME_REMETENTE}}
Parts Seals Vedações Industriais</x:v>
      </x:c>
      <x:c r="X208" s="43" t="str">
        <x:v>Olá, equipe da Suprema Distribuidora de Vedações e Comp. Hidráulicos,
Encerrando meu contato para não insistir. Caso surja alguma demanda de reposições industriais, itens fora de linha, medidas especiais e demandas de manutenção,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08" s="43" t="str">
        <x:v>Há famílias de vedações que seus clientes solicitam, mas que hoje ficam fora do portfólio por baixa recorrência?</x:v>
      </x:c>
      <x:c r="Z208" s="43" t="str">
        <x:v>Este contato foi direcionado a um canal corporativo público por possível aderência entre as atividades das empresas. Para não receber novas mensagens da Parts Seals, responda com REMOVER.</x:v>
      </x:c>
      <x:c r="AA208" s="43" t="str">
        <x:v>Sem e-mail</x:v>
      </x:c>
      <x:c r="AB208" s="43" t="str">
        <x:v>Não</x:v>
      </x:c>
      <x:c r="AC208" s="44"/>
      <x:c r="AD208" s="44"/>
      <x:c r="AE208" s="44"/>
      <x:c r="AF208" s="44"/>
      <x:c r="AG208" s="43"/>
      <x:c r="AH208" s="43"/>
      <x:c r="AI208" s="43" t="str">
        <x:v>Não</x:v>
      </x:c>
      <x:c r="AJ208" s="43"/>
      <x:c r="AK208" s="43"/>
      <x:c r="AL208" s="43" t="str">
        <x:v>https://perfildaindustria.portaldaindustria.com.br/estado/tudo/go</x:v>
      </x:c>
      <x:c r="AM208" s="43" t="str">
        <x:v>Não localizado em fonte pública confiável até 24/07/2026</x:v>
      </x:c>
      <x:c r="AN208" s="43" t="str">
        <x:v>Pesquise a empresa Suprema Distribuidora de Vedações e Comp. Hidráulicos, de Goiânia/GO,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08" s="43" t="str">
        <x:v>2026-07-24 v1</x:v>
      </x:c>
    </x:row>
    <x:row r="209" ht="72" customHeight="1">
      <x:c r="A209" s="43" t="n">
        <x:v>208</x:v>
      </x:c>
      <x:c r="B209" s="43" t="str">
        <x:v>Veda Mais Selos Mecânicos e Peças</x:v>
      </x:c>
      <x:c r="C209" s="43" t="str">
        <x:v>Selos Mecânicos</x:v>
      </x:c>
      <x:c r="D209" s="43" t="str">
        <x:v>Goiânia</x:v>
      </x:c>
      <x:c r="E209" s="43" t="str">
        <x:v>GO</x:v>
      </x:c>
      <x:c r="F209" s="43" t="str">
        <x:v>Centro-Oeste</x:v>
      </x:c>
      <x:c r="G209" s="43" t="str">
        <x:v>A - Alta</x:v>
      </x:c>
      <x:c r="H209" s="43" t="str">
        <x:v>Não contatado</x:v>
      </x:c>
      <x:c r="I209" s="43"/>
      <x:c r="J209" s="43" t="str">
        <x:v>Não localizado em fonte pública confiável até 24/07/2026</x:v>
      </x:c>
      <x:c r="K209" s="43" t="str">
        <x:v>Não</x:v>
      </x:c>
      <x:c r="L209" s="43" t="str">
        <x:v>especialista em selos mecânicos e componentes de vedação</x:v>
      </x:c>
      <x:c r="M209" s="43" t="str">
        <x:v>agroindústria, alimentos, mineração e manutenção de equipamentos</x:v>
      </x:c>
      <x:c r="N209" s="43" t="str">
        <x:v>vedações secundárias, anéis, juntas, sedes auxiliares e componentes especiais para conjuntos de selagem</x:v>
      </x:c>
      <x:c r="O209" s="43" t="str">
        <x:v>componentes em PTFE, NBR, FKM, PU e materiais técnicos conforme desenho e condição de trabalho</x:v>
      </x:c>
      <x:c r="P209" s="43" t="str">
        <x:v>fornecer componentes auxiliares especiais, pequenas séries e reposições que não compensam produção interna</x:v>
      </x:c>
      <x:c r="Q209" s="43" t="str">
        <x:v>Segmento da base: Selos Mecânicos; localização: Goiânia/GO; contexto industrial regional usado apenas como hipótese comercial. Sem e-mail público localizado. Nenhuma afirmação sobre clientes ou aplicações específicas da empresa foi feita sem fonte.</x:v>
      </x:c>
      <x:c r="R209" s="43" t="str">
        <x:v>Baixa</x:v>
      </x:c>
      <x:c r="S209" s="43" t="str">
        <x:v>Sim</x:v>
      </x:c>
      <x:c r="T209" s="43" t="str">
        <x:v>Peças especiais para complementar o atendimento da Veda Mais Selos Mecânicos e Peças</x:v>
      </x:c>
      <x:c r="U209" s="43" t="str">
        <x:v>Olá, equipe da Veda Mais Selos Mecânicos e Peças,</x:v>
      </x:c>
      <x:c r="V209" s="43" t="str">
        <x:v>Olá, equipe da Veda Mais Selos Mecânicos e Peças,
Estou entrando em contato porque a atuação da Veda Mais Selos Mecânicos e Peças em selos mecânicos tem boa aderência ao tipo de fabricação especial que realizamos na Parts Seals.
Em Goiânia/GO, cadeias como agroindústria, alimentos, mineração e manutenção de equipamentos costumam gerar solicitações de vedações especiais, principalmente quando há pressão, desgaste, ataque químico, temperatura ou dificuldade de reposição. Para o perfil de especialista em selos mecânicos e componentes de vedação, vemos maior aderência em vedações secundárias, anéis, juntas, sedes auxiliares e componentes especiais para conjuntos de selagem.
A Parts Seals pode apoiar com componentes em PTFE, NBR, FKM, PU e materiais técnicos conforme desenho e condição de trabalho. A seleção final do material é validada conforme a aplicação; para as demandas mais comuns da região, vale avaliar especialmente NBR, PU, PTFE e FKM. Nosso objetivo é fornecer componentes auxiliares especiais, pequenas séries e reposições que não compensam produção interna.
Existe algum componente secundário ou especial de selo mecânico que vocês prefeririam terceirizar?
Posso encaminhar uma apresentação curta ou avaliar um item real, sem compromisso?
Atenciosamente,
{{NOME_REMETENTE}}
Parts Seals Vedações Industriais
{{TELEFONE_REMETENTE}} | {{SITE_REMETENTE}}</x:v>
      </x:c>
      <x:c r="W209" s="43" t="str">
        <x:v>Olá, equipe da Veda Mais Selos Mecânicos e Peças,
Retomando meu contato: pelo perfil de selos mecânicos de vocês, acredito que podemos apoiar principalmente em vedações secundárias, anéis, juntas, sedes auxiliares e componentes especiais para conjuntos de selagem.
Se tiverem uma medida, desenho ou foto de um item difícil de localizar, podemos fazer uma análise inicial e indicar o material mais adequado. Há algum caso em aberto que possamos avaliar?
Atenciosamente,
{{NOME_REMETENTE}}
Parts Seals Vedações Industriais</x:v>
      </x:c>
      <x:c r="X209" s="43" t="str">
        <x:v>Olá, equipe da Veda Mais Selos Mecânicos e Peças,
Encerrando meu contato para não insistir. Caso surja alguma demanda de vedações secundárias, anéis, juntas, sedes auxiliares e componentes especiais para conjuntos de selagem,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09" s="43" t="str">
        <x:v>Existe algum componente secundário ou especial de selo mecânico que vocês prefeririam terceirizar?</x:v>
      </x:c>
      <x:c r="Z209" s="43" t="str">
        <x:v>Este contato foi direcionado a um canal corporativo público por possível aderência entre as atividades das empresas. Para não receber novas mensagens da Parts Seals, responda com REMOVER.</x:v>
      </x:c>
      <x:c r="AA209" s="43" t="str">
        <x:v>Sem e-mail</x:v>
      </x:c>
      <x:c r="AB209" s="43" t="str">
        <x:v>Não</x:v>
      </x:c>
      <x:c r="AC209" s="44"/>
      <x:c r="AD209" s="44"/>
      <x:c r="AE209" s="44"/>
      <x:c r="AF209" s="44"/>
      <x:c r="AG209" s="43"/>
      <x:c r="AH209" s="43"/>
      <x:c r="AI209" s="43" t="str">
        <x:v>Não</x:v>
      </x:c>
      <x:c r="AJ209" s="43"/>
      <x:c r="AK209" s="43"/>
      <x:c r="AL209" s="43" t="str">
        <x:v>https://perfildaindustria.portaldaindustria.com.br/estado/tudo/go</x:v>
      </x:c>
      <x:c r="AM209" s="43" t="str">
        <x:v>Não localizado em fonte pública confiável até 24/07/2026</x:v>
      </x:c>
      <x:c r="AN209" s="43" t="str">
        <x:v>Pesquise a empresa Veda Mais Selos Mecânicos e Peças, de Goiânia/GO,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09" s="43" t="str">
        <x:v>2026-07-24 v1</x:v>
      </x:c>
    </x:row>
    <x:row r="210" ht="72" customHeight="1">
      <x:c r="A210" s="43" t="n">
        <x:v>209</x:v>
      </x:c>
      <x:c r="B210" s="43" t="str">
        <x:v>Hidráulica Rio Verde</x:v>
      </x:c>
      <x:c r="C210" s="43" t="str">
        <x:v>Hidráulica/Vedações</x:v>
      </x:c>
      <x:c r="D210" s="43" t="str">
        <x:v>Rio Verde</x:v>
      </x:c>
      <x:c r="E210" s="43" t="str">
        <x:v>GO</x:v>
      </x:c>
      <x:c r="F210" s="43" t="str">
        <x:v>Centro-Oeste</x:v>
      </x:c>
      <x:c r="G210" s="43" t="str">
        <x:v>A - Alta</x:v>
      </x:c>
      <x:c r="H210" s="43" t="str">
        <x:v>Não contatado</x:v>
      </x:c>
      <x:c r="I210" s="43"/>
      <x:c r="J210" s="43" t="str">
        <x:v>Não localizado em fonte pública confiável até 24/07/2026</x:v>
      </x:c>
      <x:c r="K210" s="43" t="str">
        <x:v>Não</x:v>
      </x:c>
      <x:c r="L210" s="43" t="str">
        <x:v>fornecedor de componentes hidráulicos e vedações</x:v>
      </x:c>
      <x:c r="M210" s="43" t="str">
        <x:v>agroindústria, processamento de grãos, alimentos e máquinas agrícolas</x:v>
      </x:c>
      <x:c r="N210" s="43" t="str">
        <x:v>gaxetas de haste e pistão, raspadores, anéis guia, vedações rotativas e kits para cilindros hidráulicos</x:v>
      </x:c>
      <x:c r="O210" s="43" t="str">
        <x:v>vedações em PU, PTFE puro ou carregado, NBR e FKM, dimensionadas conforme pressão, velocidade, fluido e temperatura</x:v>
      </x:c>
      <x:c r="P210" s="43" t="str">
        <x:v>apoiar reformas e montagens com peças não padronizadas, reposições antigas e fabricação rápida por amostra ou desenho</x:v>
      </x:c>
      <x:c r="Q210" s="43" t="str">
        <x:v>Segmento da base: Hidráulica/Vedações; localização: Rio Verde/GO; contexto industrial regional usado apenas como hipótese comercial. Sem e-mail público localizado. Nenhuma afirmação sobre clientes ou aplicações específicas da empresa foi feita sem fonte.</x:v>
      </x:c>
      <x:c r="R210" s="43" t="str">
        <x:v>Baixa</x:v>
      </x:c>
      <x:c r="S210" s="43" t="str">
        <x:v>Sim</x:v>
      </x:c>
      <x:c r="T210" s="43" t="str">
        <x:v>Apoio em cilindros e medidas fora de catálogo</x:v>
      </x:c>
      <x:c r="U210" s="43" t="str">
        <x:v>Olá, equipe da Hidráulica Rio Verde,</x:v>
      </x:c>
      <x:c r="V210" s="43" t="str">
        <x:v>Olá, equipe da Hidráulica Rio Verde,
Ao analisar o perfil da Hidráulica Rio Verde em Rio Verde, identifiquei uma possibilidade de parceria para demandas de vedação que não se encaixam bem em linhas padronizadas.
Em Rio Verde/GO, cadeias como agroindústria, processamento de grãos, alimentos e máquinas agrícolas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NBR, PU,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210" s="43" t="str">
        <x:v>Olá, equipe da Hidráulica Rio Verde,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210" s="43" t="str">
        <x:v>Olá, equipe da Hidráulica Rio Verde,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10" s="43" t="str">
        <x:v>Há cilindros ou equipamentos para os quais vocês têm dificuldade de localizar a vedação correta ou cumprir o prazo do cliente?</x:v>
      </x:c>
      <x:c r="Z210" s="43" t="str">
        <x:v>Este contato foi direcionado a um canal corporativo público por possível aderência entre as atividades das empresas. Para não receber novas mensagens da Parts Seals, responda com REMOVER.</x:v>
      </x:c>
      <x:c r="AA210" s="43" t="str">
        <x:v>Sem e-mail</x:v>
      </x:c>
      <x:c r="AB210" s="43" t="str">
        <x:v>Não</x:v>
      </x:c>
      <x:c r="AC210" s="44"/>
      <x:c r="AD210" s="44"/>
      <x:c r="AE210" s="44"/>
      <x:c r="AF210" s="44"/>
      <x:c r="AG210" s="43"/>
      <x:c r="AH210" s="43"/>
      <x:c r="AI210" s="43" t="str">
        <x:v>Não</x:v>
      </x:c>
      <x:c r="AJ210" s="43"/>
      <x:c r="AK210" s="43"/>
      <x:c r="AL210" s="43" t="str">
        <x:v>https://perfildaindustria.portaldaindustria.com.br/estado/tudo/go</x:v>
      </x:c>
      <x:c r="AM210" s="43" t="str">
        <x:v>Não localizado em fonte pública confiável até 24/07/2026</x:v>
      </x:c>
      <x:c r="AN210" s="43" t="str">
        <x:v>Pesquise a empresa Hidráulica Rio Verde, de Rio Verde/GO,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10" s="43" t="str">
        <x:v>2026-07-24 v1</x:v>
      </x:c>
    </x:row>
    <x:row r="211" ht="72" customHeight="1">
      <x:c r="A211" s="43" t="n">
        <x:v>210</x:v>
      </x:c>
      <x:c r="B211" s="43" t="str">
        <x:v>Hidroflex Comércio Hidráulica e Pneumática</x:v>
      </x:c>
      <x:c r="C211" s="43" t="str">
        <x:v>Hidráulica/Vedações</x:v>
      </x:c>
      <x:c r="D211" s="43" t="str">
        <x:v>Campo Grande</x:v>
      </x:c>
      <x:c r="E211" s="43" t="str">
        <x:v>MS</x:v>
      </x:c>
      <x:c r="F211" s="43" t="str">
        <x:v>Centro-Oeste</x:v>
      </x:c>
      <x:c r="G211" s="43" t="str">
        <x:v>A - Alta</x:v>
      </x:c>
      <x:c r="H211" s="43" t="str">
        <x:v>Não contatado</x:v>
      </x:c>
      <x:c r="I211" s="43"/>
      <x:c r="J211" s="43" t="str">
        <x:v>Não localizado em fonte pública confiável até 24/07/2026</x:v>
      </x:c>
      <x:c r="K211" s="43" t="str">
        <x:v>Não</x:v>
      </x:c>
      <x:c r="L211" s="43" t="str">
        <x:v>fornecedor de componentes hidráulicos e vedações</x:v>
      </x:c>
      <x:c r="M211" s="43" t="str">
        <x:v>agroindústria, alimentos, celulose e manutenção de equipamentos</x:v>
      </x:c>
      <x:c r="N211" s="43" t="str">
        <x:v>gaxetas de haste e pistão, raspadores, anéis guia, vedações rotativas e kits para cilindros hidráulicos</x:v>
      </x:c>
      <x:c r="O211" s="43" t="str">
        <x:v>vedações em PU, PTFE puro ou carregado, NBR e FKM, dimensionadas conforme pressão, velocidade, fluido e temperatura</x:v>
      </x:c>
      <x:c r="P211" s="43" t="str">
        <x:v>apoiar reformas e montagens com peças não padronizadas, reposições antigas e fabricação rápida por amostra ou desenho</x:v>
      </x:c>
      <x:c r="Q211" s="43" t="str">
        <x:v>Segmento da base: Hidráulica/Vedações; localização: Campo Grande/MS; contexto industrial regional usado apenas como hipótese comercial. Sem e-mail público localizado. Nenhuma afirmação sobre clientes ou aplicações específicas da empresa foi feita sem fonte.</x:v>
      </x:c>
      <x:c r="R211" s="43" t="str">
        <x:v>Baixa</x:v>
      </x:c>
      <x:c r="S211" s="43" t="str">
        <x:v>Sim</x:v>
      </x:c>
      <x:c r="T211" s="43" t="str">
        <x:v>Gaxetas, raspadores e anéis guia sob medida</x:v>
      </x:c>
      <x:c r="U211" s="43" t="str">
        <x:v>Olá, equipe da Hidroflex Comércio Hidráulica e Pneumática,</x:v>
      </x:c>
      <x:c r="V211" s="43" t="str">
        <x:v>Olá, equipe da Hidroflex Comércio Hidráulica e Pneumática,
A Parts Seals está ampliando parcerias com empresas técnicas do setor, e o perfil da Hidroflex Comércio Hidráulica e Pneumática chamou nossa atenção pela atuação em hidráulica/vedações.
Em Campo Grande/MS, cadeias como agroindústria, alimentos, celulose e manutenção de equipamentos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NBR, PU,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211" s="43" t="str">
        <x:v>Olá, equipe da Hidroflex Comércio Hidráulica e Pneumática,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211" s="43" t="str">
        <x:v>Olá, equipe da Hidroflex Comércio Hidráulica e Pneumática,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11" s="43" t="str">
        <x:v>Há cilindros ou equipamentos para os quais vocês têm dificuldade de localizar a vedação correta ou cumprir o prazo do cliente?</x:v>
      </x:c>
      <x:c r="Z211" s="43" t="str">
        <x:v>Este contato foi direcionado a um canal corporativo público por possível aderência entre as atividades das empresas. Para não receber novas mensagens da Parts Seals, responda com REMOVER.</x:v>
      </x:c>
      <x:c r="AA211" s="43" t="str">
        <x:v>Sem e-mail</x:v>
      </x:c>
      <x:c r="AB211" s="43" t="str">
        <x:v>Não</x:v>
      </x:c>
      <x:c r="AC211" s="44"/>
      <x:c r="AD211" s="44"/>
      <x:c r="AE211" s="44"/>
      <x:c r="AF211" s="44"/>
      <x:c r="AG211" s="43"/>
      <x:c r="AH211" s="43"/>
      <x:c r="AI211" s="43" t="str">
        <x:v>Não</x:v>
      </x:c>
      <x:c r="AJ211" s="43"/>
      <x:c r="AK211" s="43"/>
      <x:c r="AL211" s="43" t="str">
        <x:v>https://perfildaindustria.portaldaindustria.com.br/estado/tudo/ms</x:v>
      </x:c>
      <x:c r="AM211" s="43" t="str">
        <x:v>Não localizado em fonte pública confiável até 24/07/2026</x:v>
      </x:c>
      <x:c r="AN211" s="43" t="str">
        <x:v>Pesquise a empresa Hidroflex Comércio Hidráulica e Pneumática, de Campo Grande/MS,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11" s="43" t="str">
        <x:v>2026-07-24 v1</x:v>
      </x:c>
    </x:row>
    <x:row r="212" ht="72" customHeight="1">
      <x:c r="A212" s="43" t="n">
        <x:v>211</x:v>
      </x:c>
      <x:c r="B212" s="43" t="str">
        <x:v>Integral Vedação</x:v>
      </x:c>
      <x:c r="C212" s="43" t="str">
        <x:v>Vedações</x:v>
      </x:c>
      <x:c r="D212" s="43" t="str">
        <x:v>Rondonópolis</x:v>
      </x:c>
      <x:c r="E212" s="43" t="str">
        <x:v>MT</x:v>
      </x:c>
      <x:c r="F212" s="43" t="str">
        <x:v>Centro-Oeste</x:v>
      </x:c>
      <x:c r="G212" s="43" t="str">
        <x:v>C - Baixa</x:v>
      </x:c>
      <x:c r="H212" s="43" t="str">
        <x:v>Não contatado</x:v>
      </x:c>
      <x:c r="I212" s="43"/>
      <x:c r="J212" s="43" t="str">
        <x:v>Não localizado em fonte pública confiável até 24/07/2026</x:v>
      </x:c>
      <x:c r="K212" s="43" t="str">
        <x:v>Não</x:v>
      </x:c>
      <x:c r="L212" s="43" t="str">
        <x:v>especialista ou revenda de vedações industriais</x:v>
      </x:c>
      <x:c r="M212" s="43" t="str">
        <x:v>agroindústria, logística, fertilizantes e máquinas</x:v>
      </x:c>
      <x:c r="N212" s="43" t="str">
        <x:v>gaxetas, raspadores, anéis guia, vedações de haste e pistão, retentores especiais e reposições fora de linha</x:v>
      </x:c>
      <x:c r="O212" s="43" t="str">
        <x:v>peças sob medida em PTFE puro ou carregado, poliuretano, NBR, FKM, nylon e outros materiais técnicos</x:v>
      </x:c>
      <x:c r="P212" s="43" t="str">
        <x:v>complementar o portfólio com itens especiais, pequenas e médias séries, urgências e fabricação por desenho ou amostra</x:v>
      </x:c>
      <x:c r="Q212" s="43" t="str">
        <x:v>Segmento da base: Vedações; localização: Rondonópolis/MT; contexto industrial regional usado apenas como hipótese comercial. Sem e-mail público localizado. Nenhuma afirmação sobre clientes ou aplicações específicas da empresa foi feita sem fonte.</x:v>
      </x:c>
      <x:c r="R212" s="43" t="str">
        <x:v>Baixa</x:v>
      </x:c>
      <x:c r="S212" s="43" t="str">
        <x:v>Sim</x:v>
      </x:c>
      <x:c r="T212" s="43" t="str">
        <x:v>Demandas fora de catálogo na Integral Vedação</x:v>
      </x:c>
      <x:c r="U212" s="43" t="str">
        <x:v>Olá, equipe da Integral Vedação,</x:v>
      </x:c>
      <x:c r="V212" s="43" t="str">
        <x:v>Olá, equipe da Integral Vedação,
Gostaria de apresentar uma possibilidade de apoio complementar à Integral Vedação para peças especiais, urgências e reposições fora de catálogo.
Em Rondonópolis/MT, cadeias como agroindústria, logística, fertilizantes e máquinas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12" s="43" t="str">
        <x:v>Olá, equipe da Integral Vedação,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12" s="43" t="str">
        <x:v>Olá, equipe da Integral Vedação,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12" s="43" t="str">
        <x:v>Vocês recebem consultas de peças especiais que acabam sem atendimento por prazo, material, quantidade ou ausência de desenho?</x:v>
      </x:c>
      <x:c r="Z212" s="43" t="str">
        <x:v>Este contato foi direcionado a um canal corporativo público por possível aderência entre as atividades das empresas. Para não receber novas mensagens da Parts Seals, responda com REMOVER.</x:v>
      </x:c>
      <x:c r="AA212" s="43" t="str">
        <x:v>Sem e-mail</x:v>
      </x:c>
      <x:c r="AB212" s="43" t="str">
        <x:v>Não</x:v>
      </x:c>
      <x:c r="AC212" s="44"/>
      <x:c r="AD212" s="44"/>
      <x:c r="AE212" s="44"/>
      <x:c r="AF212" s="44"/>
      <x:c r="AG212" s="43"/>
      <x:c r="AH212" s="43"/>
      <x:c r="AI212" s="43" t="str">
        <x:v>Não</x:v>
      </x:c>
      <x:c r="AJ212" s="43"/>
      <x:c r="AK212" s="43"/>
      <x:c r="AL212" s="43" t="str">
        <x:v>https://perfildaindustria.portaldaindustria.com.br/estado/tudo/mt</x:v>
      </x:c>
      <x:c r="AM212" s="43" t="str">
        <x:v>Não localizado em fonte pública confiável até 24/07/2026</x:v>
      </x:c>
      <x:c r="AN212" s="43" t="str">
        <x:v>Pesquise a empresa Integral Vedação, de Rondonópolis/MT,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12" s="43" t="str">
        <x:v>2026-07-24 v1</x:v>
      </x:c>
    </x:row>
    <x:row r="213" ht="72" customHeight="1">
      <x:c r="A213" s="43" t="n">
        <x:v>212</x:v>
      </x:c>
      <x:c r="B213" s="43" t="str">
        <x:v>LM Peças e Vedações Hidráulicas</x:v>
      </x:c>
      <x:c r="C213" s="43" t="str">
        <x:v>Hidráulica/Vedações</x:v>
      </x:c>
      <x:c r="D213" s="43" t="str">
        <x:v>Rondonópolis</x:v>
      </x:c>
      <x:c r="E213" s="43" t="str">
        <x:v>MT</x:v>
      </x:c>
      <x:c r="F213" s="43" t="str">
        <x:v>Centro-Oeste</x:v>
      </x:c>
      <x:c r="G213" s="43" t="str">
        <x:v>B - Média</x:v>
      </x:c>
      <x:c r="H213" s="43" t="str">
        <x:v>Não contatado</x:v>
      </x:c>
      <x:c r="I213" s="43"/>
      <x:c r="J213" s="43" t="str">
        <x:v>Não localizado em fonte pública confiável até 24/07/2026</x:v>
      </x:c>
      <x:c r="K213" s="43" t="str">
        <x:v>Não</x:v>
      </x:c>
      <x:c r="L213" s="43" t="str">
        <x:v>fornecedor de componentes hidráulicos e vedações</x:v>
      </x:c>
      <x:c r="M213" s="43" t="str">
        <x:v>agroindústria, logística, fertilizantes e máquinas</x:v>
      </x:c>
      <x:c r="N213" s="43" t="str">
        <x:v>gaxetas de haste e pistão, raspadores, anéis guia, vedações rotativas e kits para cilindros hidráulicos</x:v>
      </x:c>
      <x:c r="O213" s="43" t="str">
        <x:v>vedações em PU, PTFE puro ou carregado, NBR e FKM, dimensionadas conforme pressão, velocidade, fluido e temperatura</x:v>
      </x:c>
      <x:c r="P213" s="43" t="str">
        <x:v>apoiar reformas e montagens com peças não padronizadas, reposições antigas e fabricação rápida por amostra ou desenho</x:v>
      </x:c>
      <x:c r="Q213" s="43" t="str">
        <x:v>Segmento da base: Hidráulica/Vedações; localização: Rondonópolis/MT; contexto industrial regional usado apenas como hipótese comercial. Sem e-mail público localizado. Nenhuma afirmação sobre clientes ou aplicações específicas da empresa foi feita sem fonte.</x:v>
      </x:c>
      <x:c r="R213" s="43" t="str">
        <x:v>Baixa</x:v>
      </x:c>
      <x:c r="S213" s="43" t="str">
        <x:v>Sim</x:v>
      </x:c>
      <x:c r="T213" s="43" t="str">
        <x:v>Vedações hidráulicas especiais para a LM Peças e Vedações Hidráulicas</x:v>
      </x:c>
      <x:c r="U213" s="43" t="str">
        <x:v>Olá, equipe da LM Peças e Vedações Hidráulicas,</x:v>
      </x:c>
      <x:c r="V213" s="43" t="str">
        <x:v>Olá, equipe da LM Peças e Vedações Hidráulicas,
Estou entrando em contato porque a atuação da LM Peças e Vedações Hidráulicas em hidráulica/vedações tem boa aderência ao tipo de fabricação especial que realizamos na Parts Seals.
Em Rondonópolis/MT, cadeias como agroindústria, logística, fertilizantes e máquinas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NBR, PU,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213" s="43" t="str">
        <x:v>Olá, equipe da LM Peças e Vedações Hidráulicas,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213" s="43" t="str">
        <x:v>Olá, equipe da LM Peças e Vedações Hidráulicas,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13" s="43" t="str">
        <x:v>Há cilindros ou equipamentos para os quais vocês têm dificuldade de localizar a vedação correta ou cumprir o prazo do cliente?</x:v>
      </x:c>
      <x:c r="Z213" s="43" t="str">
        <x:v>Este contato foi direcionado a um canal corporativo público por possível aderência entre as atividades das empresas. Para não receber novas mensagens da Parts Seals, responda com REMOVER.</x:v>
      </x:c>
      <x:c r="AA213" s="43" t="str">
        <x:v>Sem e-mail</x:v>
      </x:c>
      <x:c r="AB213" s="43" t="str">
        <x:v>Não</x:v>
      </x:c>
      <x:c r="AC213" s="44"/>
      <x:c r="AD213" s="44"/>
      <x:c r="AE213" s="44"/>
      <x:c r="AF213" s="44"/>
      <x:c r="AG213" s="43"/>
      <x:c r="AH213" s="43"/>
      <x:c r="AI213" s="43" t="str">
        <x:v>Não</x:v>
      </x:c>
      <x:c r="AJ213" s="43"/>
      <x:c r="AK213" s="43"/>
      <x:c r="AL213" s="43" t="str">
        <x:v>https://perfildaindustria.portaldaindustria.com.br/estado/tudo/mt</x:v>
      </x:c>
      <x:c r="AM213" s="43" t="str">
        <x:v>Não localizado em fonte pública confiável até 24/07/2026</x:v>
      </x:c>
      <x:c r="AN213" s="43" t="str">
        <x:v>Pesquise a empresa LM Peças e Vedações Hidráulicas, de Rondonópolis/MT,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13" s="43" t="str">
        <x:v>2026-07-24 v1</x:v>
      </x:c>
    </x:row>
    <x:row r="214" ht="72" customHeight="1">
      <x:c r="A214" s="43" t="n">
        <x:v>213</x:v>
      </x:c>
      <x:c r="B214" s="43" t="str">
        <x:v>Hidráulica Sinop</x:v>
      </x:c>
      <x:c r="C214" s="43" t="str">
        <x:v>Hidráulica/Vedações</x:v>
      </x:c>
      <x:c r="D214" s="43" t="str">
        <x:v>Sinop</x:v>
      </x:c>
      <x:c r="E214" s="43" t="str">
        <x:v>MT</x:v>
      </x:c>
      <x:c r="F214" s="43" t="str">
        <x:v>Centro-Oeste</x:v>
      </x:c>
      <x:c r="G214" s="43" t="str">
        <x:v>B - Média</x:v>
      </x:c>
      <x:c r="H214" s="43" t="str">
        <x:v>Não contatado</x:v>
      </x:c>
      <x:c r="I214" s="43"/>
      <x:c r="J214" s="43" t="str">
        <x:v>Não localizado em fonte pública confiável até 24/07/2026</x:v>
      </x:c>
      <x:c r="K214" s="43" t="str">
        <x:v>Não</x:v>
      </x:c>
      <x:c r="L214" s="43" t="str">
        <x:v>fornecedor de componentes hidráulicos e vedações</x:v>
      </x:c>
      <x:c r="M214" s="43" t="str">
        <x:v>agroindústria, madeira, grãos e máquinas agrícolas</x:v>
      </x:c>
      <x:c r="N214" s="43" t="str">
        <x:v>gaxetas de haste e pistão, raspadores, anéis guia, vedações rotativas e kits para cilindros hidráulicos</x:v>
      </x:c>
      <x:c r="O214" s="43" t="str">
        <x:v>vedações em PU, PTFE puro ou carregado, NBR e FKM, dimensionadas conforme pressão, velocidade, fluido e temperatura</x:v>
      </x:c>
      <x:c r="P214" s="43" t="str">
        <x:v>apoiar reformas e montagens com peças não padronizadas, reposições antigas e fabricação rápida por amostra ou desenho</x:v>
      </x:c>
      <x:c r="Q214" s="43" t="str">
        <x:v>Segmento da base: Hidráulica/Vedações; localização: Sinop/MT; contexto industrial regional usado apenas como hipótese comercial. Sem e-mail público localizado. Nenhuma afirmação sobre clientes ou aplicações específicas da empresa foi feita sem fonte.</x:v>
      </x:c>
      <x:c r="R214" s="43" t="str">
        <x:v>Baixa</x:v>
      </x:c>
      <x:c r="S214" s="43" t="str">
        <x:v>Sim</x:v>
      </x:c>
      <x:c r="T214" s="43" t="str">
        <x:v>Apoio em cilindros e medidas fora de catálogo</x:v>
      </x:c>
      <x:c r="U214" s="43" t="str">
        <x:v>Olá, equipe da Hidráulica Sinop,</x:v>
      </x:c>
      <x:c r="V214" s="43" t="str">
        <x:v>Olá, equipe da Hidráulica Sinop,
Ao analisar o perfil da Hidráulica Sinop em Sinop, identifiquei uma possibilidade de parceria para demandas de vedação que não se encaixam bem em linhas padronizadas.
Em Sinop/MT, cadeias como agroindústria, madeira, grãos e máquinas agrícolas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NBR, PU,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214" s="43" t="str">
        <x:v>Olá, equipe da Hidráulica Sinop,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214" s="43" t="str">
        <x:v>Olá, equipe da Hidráulica Sinop,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14" s="43" t="str">
        <x:v>Há cilindros ou equipamentos para os quais vocês têm dificuldade de localizar a vedação correta ou cumprir o prazo do cliente?</x:v>
      </x:c>
      <x:c r="Z214" s="43" t="str">
        <x:v>Este contato foi direcionado a um canal corporativo público por possível aderência entre as atividades das empresas. Para não receber novas mensagens da Parts Seals, responda com REMOVER.</x:v>
      </x:c>
      <x:c r="AA214" s="43" t="str">
        <x:v>Sem e-mail</x:v>
      </x:c>
      <x:c r="AB214" s="43" t="str">
        <x:v>Não</x:v>
      </x:c>
      <x:c r="AC214" s="44"/>
      <x:c r="AD214" s="44"/>
      <x:c r="AE214" s="44"/>
      <x:c r="AF214" s="44"/>
      <x:c r="AG214" s="43"/>
      <x:c r="AH214" s="43"/>
      <x:c r="AI214" s="43" t="str">
        <x:v>Não</x:v>
      </x:c>
      <x:c r="AJ214" s="43"/>
      <x:c r="AK214" s="43"/>
      <x:c r="AL214" s="43" t="str">
        <x:v>https://perfildaindustria.portaldaindustria.com.br/estado/tudo/mt</x:v>
      </x:c>
      <x:c r="AM214" s="43" t="str">
        <x:v>Não localizado em fonte pública confiável até 24/07/2026</x:v>
      </x:c>
      <x:c r="AN214" s="43" t="str">
        <x:v>Pesquise a empresa Hidráulica Sinop, de Sinop/MT,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14" s="43" t="str">
        <x:v>2026-07-24 v1</x:v>
      </x:c>
    </x:row>
    <x:row r="215" ht="72" customHeight="1">
      <x:c r="A215" s="43" t="n">
        <x:v>214</x:v>
      </x:c>
      <x:c r="B215" s="43" t="str">
        <x:v>Hidráulica Brasil</x:v>
      </x:c>
      <x:c r="C215" s="43" t="str">
        <x:v>Hidráulica/Vedações</x:v>
      </x:c>
      <x:c r="D215" s="43" t="str">
        <x:v>Sorriso</x:v>
      </x:c>
      <x:c r="E215" s="43" t="str">
        <x:v>MT</x:v>
      </x:c>
      <x:c r="F215" s="43" t="str">
        <x:v>Centro-Oeste</x:v>
      </x:c>
      <x:c r="G215" s="43" t="str">
        <x:v>B - Média</x:v>
      </x:c>
      <x:c r="H215" s="43" t="str">
        <x:v>Não contatado</x:v>
      </x:c>
      <x:c r="I215" s="43" t="str">
        <x:v>nortebrasil-mt@uol.com.br</x:v>
      </x:c>
      <x:c r="J215" s="43" t="str">
        <x:v>https://www.autoguiabr.com.br/hidraulicabrasil/fale.htm</x:v>
      </x:c>
      <x:c r="K215" s="43" t="str">
        <x:v>Sim</x:v>
      </x:c>
      <x:c r="L215" s="43" t="str">
        <x:v>fornecedor de componentes hidráulicos e vedações</x:v>
      </x:c>
      <x:c r="M215" s="43" t="str">
        <x:v>agroindústria, grãos, armazenagem e máquinas agrícolas</x:v>
      </x:c>
      <x:c r="N215" s="43" t="str">
        <x:v>gaxetas de haste e pistão, raspadores, anéis guia, vedações rotativas e kits para cilindros hidráulicos</x:v>
      </x:c>
      <x:c r="O215" s="43" t="str">
        <x:v>vedações em PU, PTFE puro ou carregado, NBR e FKM, dimensionadas conforme pressão, velocidade, fluido e temperatura</x:v>
      </x:c>
      <x:c r="P215" s="43" t="str">
        <x:v>apoiar reformas e montagens com peças não padronizadas, reposições antigas e fabricação rápida por amostra ou desenho</x:v>
      </x:c>
      <x:c r="Q215" s="43" t="str">
        <x:v>Segmento da base: Hidráulica/Vedações; localização: Sorriso/MT; contexto industrial regional usado apenas como hipótese comercial. Fonte pública associada à empresa. Nenhuma afirmação sobre clientes ou aplicações específicas da empresa foi feita sem fonte.</x:v>
      </x:c>
      <x:c r="R215" s="43" t="str">
        <x:v>Moderada</x:v>
      </x:c>
      <x:c r="S215" s="43" t="str">
        <x:v>Sim</x:v>
      </x:c>
      <x:c r="T215" s="43" t="str">
        <x:v>Gaxetas, raspadores e anéis guia sob medida</x:v>
      </x:c>
      <x:c r="U215" s="43" t="str">
        <x:v>Olá, equipe da Hidráulica Brasil,</x:v>
      </x:c>
      <x:c r="V215" s="43" t="str">
        <x:v>Olá, equipe da Hidráulica Brasil,
A Parts Seals está ampliando parcerias com empresas técnicas do setor, e o perfil da Hidráulica Brasil chamou nossa atenção pela atuação em hidráulica/vedações.
Em Sorriso/MT, cadeias como agroindústria, grãos, armazenagem e máquinas agrícolas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NBR, PU,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215" s="43" t="str">
        <x:v>Olá, equipe da Hidráulica Brasil,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215" s="43" t="str">
        <x:v>Olá, equipe da Hidráulica Brasil,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15" s="43" t="str">
        <x:v>Há cilindros ou equipamentos para os quais vocês têm dificuldade de localizar a vedação correta ou cumprir o prazo do cliente?</x:v>
      </x:c>
      <x:c r="Z215" s="43" t="str">
        <x:v>Este contato foi direcionado a um canal corporativo público por possível aderência entre as atividades das empresas. Para não receber novas mensagens da Parts Seals, responda com REMOVER.</x:v>
      </x:c>
      <x:c r="AA215" s="43" t="str">
        <x:v>Aguardando aprovação</x:v>
      </x:c>
      <x:c r="AB215" s="43" t="str">
        <x:v>Não</x:v>
      </x:c>
      <x:c r="AC215" s="44"/>
      <x:c r="AD215" s="44"/>
      <x:c r="AE215" s="44"/>
      <x:c r="AF215" s="44"/>
      <x:c r="AG215" s="43"/>
      <x:c r="AH215" s="43"/>
      <x:c r="AI215" s="43" t="str">
        <x:v>Não</x:v>
      </x:c>
      <x:c r="AJ215" s="43"/>
      <x:c r="AK215" s="43"/>
      <x:c r="AL215" s="43" t="str">
        <x:v>https://perfildaindustria.portaldaindustria.com.br/estado/tudo/mt</x:v>
      </x:c>
      <x:c r="AM215" s="43" t="str">
        <x:v>https://www.autoguiabr.com.br/hidraulicabrasil/fale.htm</x:v>
      </x:c>
      <x:c r="AN215" s="43" t="str">
        <x:v>Pesquise a empresa Hidráulica Brasil, de Sorriso/MT,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15" s="43" t="str">
        <x:v>2026-07-24 v1</x:v>
      </x:c>
    </x:row>
    <x:row r="216" ht="72" customHeight="1">
      <x:c r="A216" s="43" t="n">
        <x:v>215</x:v>
      </x:c>
      <x:c r="B216" s="43" t="str">
        <x:v>Hidráulica Hidráumaq</x:v>
      </x:c>
      <x:c r="C216" s="43" t="str">
        <x:v>Hidráulica/Vedações</x:v>
      </x:c>
      <x:c r="D216" s="43" t="str">
        <x:v>Sorriso</x:v>
      </x:c>
      <x:c r="E216" s="43" t="str">
        <x:v>MT</x:v>
      </x:c>
      <x:c r="F216" s="43" t="str">
        <x:v>Centro-Oeste</x:v>
      </x:c>
      <x:c r="G216" s="43" t="str">
        <x:v>A - Alta</x:v>
      </x:c>
      <x:c r="H216" s="43" t="str">
        <x:v>Não contatado</x:v>
      </x:c>
      <x:c r="I216" s="43" t="str">
        <x:v>contato@hidraumaq.com.br</x:v>
      </x:c>
      <x:c r="J216" s="43" t="str">
        <x:v>https://www.hidraumaq.com.br/223-produto-motor-hidraulico-eaton</x:v>
      </x:c>
      <x:c r="K216" s="43" t="str">
        <x:v>Sim</x:v>
      </x:c>
      <x:c r="L216" s="43" t="str">
        <x:v>fornecedor de componentes hidráulicos e vedações</x:v>
      </x:c>
      <x:c r="M216" s="43" t="str">
        <x:v>agroindústria, grãos, armazenagem e máquinas agrícolas</x:v>
      </x:c>
      <x:c r="N216" s="43" t="str">
        <x:v>gaxetas de haste e pistão, raspadores, anéis guia, vedações rotativas e kits para cilindros hidráulicos</x:v>
      </x:c>
      <x:c r="O216" s="43" t="str">
        <x:v>vedações em PU, PTFE puro ou carregado, NBR e FKM, dimensionadas conforme pressão, velocidade, fluido e temperatura</x:v>
      </x:c>
      <x:c r="P216" s="43" t="str">
        <x:v>apoiar reformas e montagens com peças não padronizadas, reposições antigas e fabricação rápida por amostra ou desenho</x:v>
      </x:c>
      <x:c r="Q216" s="43" t="str">
        <x:v>Segmento da base: Hidráulica/Vedações; localização: Sorriso/MT; contexto industrial regional usado apenas como hipótese comercial. Domínio do e-mail coincide com a fonte oficial. Nenhuma afirmação sobre clientes ou aplicações específicas da empresa foi feita sem fonte.</x:v>
      </x:c>
      <x:c r="R216" s="43" t="str">
        <x:v>Alta</x:v>
      </x:c>
      <x:c r="S216" s="43" t="str">
        <x:v>Recomendada</x:v>
      </x:c>
      <x:c r="T216" s="43" t="str">
        <x:v>Possível parceria técnica com a Hidráulica Hidráumaq</x:v>
      </x:c>
      <x:c r="U216" s="43" t="str">
        <x:v>Olá, equipe da Hidráulica Hidráumaq,</x:v>
      </x:c>
      <x:c r="V216" s="43" t="str">
        <x:v>Olá, equipe da Hidráulica Hidráumaq,
Gostaria de apresentar uma possibilidade de apoio complementar à Hidráulica Hidráumaq para peças especiais, urgências e reposições fora de catálogo.
Em Sorriso/MT, cadeias como agroindústria, grãos, armazenagem e máquinas agrícolas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NBR, PU,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216" s="43" t="str">
        <x:v>Olá, equipe da Hidráulica Hidráumaq,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216" s="43" t="str">
        <x:v>Olá, equipe da Hidráulica Hidráumaq,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16" s="43" t="str">
        <x:v>Há cilindros ou equipamentos para os quais vocês têm dificuldade de localizar a vedação correta ou cumprir o prazo do cliente?</x:v>
      </x:c>
      <x:c r="Z216" s="43" t="str">
        <x:v>Este contato foi direcionado a um canal corporativo público por possível aderência entre as atividades das empresas. Para não receber novas mensagens da Parts Seals, responda com REMOVER.</x:v>
      </x:c>
      <x:c r="AA216" s="43" t="str">
        <x:v>Aguardando aprovação</x:v>
      </x:c>
      <x:c r="AB216" s="43" t="str">
        <x:v>Não</x:v>
      </x:c>
      <x:c r="AC216" s="44"/>
      <x:c r="AD216" s="44"/>
      <x:c r="AE216" s="44"/>
      <x:c r="AF216" s="44"/>
      <x:c r="AG216" s="43"/>
      <x:c r="AH216" s="43"/>
      <x:c r="AI216" s="43" t="str">
        <x:v>Não</x:v>
      </x:c>
      <x:c r="AJ216" s="43"/>
      <x:c r="AK216" s="43"/>
      <x:c r="AL216" s="43" t="str">
        <x:v>https://perfildaindustria.portaldaindustria.com.br/estado/tudo/mt</x:v>
      </x:c>
      <x:c r="AM216" s="43" t="str">
        <x:v>https://www.hidraumaq.com.br/223-produto-motor-hidraulico-eaton</x:v>
      </x:c>
      <x:c r="AN216" s="43" t="str">
        <x:v>Pesquise a empresa Hidráulica Hidráumaq, de Sorriso/MT,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16" s="43" t="str">
        <x:v>2026-07-24 v1</x:v>
      </x:c>
    </x:row>
    <x:row r="217" ht="72" customHeight="1">
      <x:c r="A217" s="43" t="n">
        <x:v>216</x:v>
      </x:c>
      <x:c r="B217" s="43" t="str">
        <x:v>Hidráulica Sorriso</x:v>
      </x:c>
      <x:c r="C217" s="43" t="str">
        <x:v>Hidráulica/Vedações</x:v>
      </x:c>
      <x:c r="D217" s="43" t="str">
        <x:v>Sorriso</x:v>
      </x:c>
      <x:c r="E217" s="43" t="str">
        <x:v>MT</x:v>
      </x:c>
      <x:c r="F217" s="43" t="str">
        <x:v>Centro-Oeste</x:v>
      </x:c>
      <x:c r="G217" s="43" t="str">
        <x:v>A - Alta</x:v>
      </x:c>
      <x:c r="H217" s="43" t="str">
        <x:v>Não contatado</x:v>
      </x:c>
      <x:c r="I217" s="43"/>
      <x:c r="J217" s="43" t="str">
        <x:v>Não localizado em fonte pública confiável até 24/07/2026</x:v>
      </x:c>
      <x:c r="K217" s="43" t="str">
        <x:v>Não</x:v>
      </x:c>
      <x:c r="L217" s="43" t="str">
        <x:v>fornecedor de componentes hidráulicos e vedações</x:v>
      </x:c>
      <x:c r="M217" s="43" t="str">
        <x:v>agroindústria, grãos, armazenagem e máquinas agrícolas</x:v>
      </x:c>
      <x:c r="N217" s="43" t="str">
        <x:v>gaxetas de haste e pistão, raspadores, anéis guia, vedações rotativas e kits para cilindros hidráulicos</x:v>
      </x:c>
      <x:c r="O217" s="43" t="str">
        <x:v>vedações em PU, PTFE puro ou carregado, NBR e FKM, dimensionadas conforme pressão, velocidade, fluido e temperatura</x:v>
      </x:c>
      <x:c r="P217" s="43" t="str">
        <x:v>apoiar reformas e montagens com peças não padronizadas, reposições antigas e fabricação rápida por amostra ou desenho</x:v>
      </x:c>
      <x:c r="Q217" s="43" t="str">
        <x:v>Segmento da base: Hidráulica/Vedações; localização: Sorriso/MT; contexto industrial regional usado apenas como hipótese comercial. Sem e-mail público localizado. Nenhuma afirmação sobre clientes ou aplicações específicas da empresa foi feita sem fonte.</x:v>
      </x:c>
      <x:c r="R217" s="43" t="str">
        <x:v>Baixa</x:v>
      </x:c>
      <x:c r="S217" s="43" t="str">
        <x:v>Sim</x:v>
      </x:c>
      <x:c r="T217" s="43" t="str">
        <x:v>Vedações hidráulicas especiais para a Hidráulica Sorriso</x:v>
      </x:c>
      <x:c r="U217" s="43" t="str">
        <x:v>Olá, equipe da Hidráulica Sorriso,</x:v>
      </x:c>
      <x:c r="V217" s="43" t="str">
        <x:v>Olá, equipe da Hidráulica Sorriso,
Estou entrando em contato porque a atuação da Hidráulica Sorriso em hidráulica/vedações tem boa aderência ao tipo de fabricação especial que realizamos na Parts Seals.
Em Sorriso/MT, cadeias como agroindústria, grãos, armazenagem e máquinas agrícolas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NBR, PU,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217" s="43" t="str">
        <x:v>Olá, equipe da Hidráulica Sorriso,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217" s="43" t="str">
        <x:v>Olá, equipe da Hidráulica Sorriso,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17" s="43" t="str">
        <x:v>Há cilindros ou equipamentos para os quais vocês têm dificuldade de localizar a vedação correta ou cumprir o prazo do cliente?</x:v>
      </x:c>
      <x:c r="Z217" s="43" t="str">
        <x:v>Este contato foi direcionado a um canal corporativo público por possível aderência entre as atividades das empresas. Para não receber novas mensagens da Parts Seals, responda com REMOVER.</x:v>
      </x:c>
      <x:c r="AA217" s="43" t="str">
        <x:v>Sem e-mail</x:v>
      </x:c>
      <x:c r="AB217" s="43" t="str">
        <x:v>Não</x:v>
      </x:c>
      <x:c r="AC217" s="44"/>
      <x:c r="AD217" s="44"/>
      <x:c r="AE217" s="44"/>
      <x:c r="AF217" s="44"/>
      <x:c r="AG217" s="43"/>
      <x:c r="AH217" s="43"/>
      <x:c r="AI217" s="43" t="str">
        <x:v>Não</x:v>
      </x:c>
      <x:c r="AJ217" s="43"/>
      <x:c r="AK217" s="43"/>
      <x:c r="AL217" s="43" t="str">
        <x:v>https://perfildaindustria.portaldaindustria.com.br/estado/tudo/mt</x:v>
      </x:c>
      <x:c r="AM217" s="43" t="str">
        <x:v>Não localizado em fonte pública confiável até 24/07/2026</x:v>
      </x:c>
      <x:c r="AN217" s="43" t="str">
        <x:v>Pesquise a empresa Hidráulica Sorriso, de Sorriso/MT,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17" s="43" t="str">
        <x:v>2026-07-24 v1</x:v>
      </x:c>
    </x:row>
    <x:row r="218" ht="72" customHeight="1">
      <x:c r="A218" s="43" t="n">
        <x:v>217</x:v>
      </x:c>
      <x:c r="B218" s="43" t="str">
        <x:v>Hyclaf Peças Hidráulicas</x:v>
      </x:c>
      <x:c r="C218" s="43" t="str">
        <x:v>Hidráulica/Vedações</x:v>
      </x:c>
      <x:c r="D218" s="43" t="str">
        <x:v>Sorriso</x:v>
      </x:c>
      <x:c r="E218" s="43" t="str">
        <x:v>MT</x:v>
      </x:c>
      <x:c r="F218" s="43" t="str">
        <x:v>Centro-Oeste</x:v>
      </x:c>
      <x:c r="G218" s="43" t="str">
        <x:v>B - Média</x:v>
      </x:c>
      <x:c r="H218" s="43" t="str">
        <x:v>Não contatado</x:v>
      </x:c>
      <x:c r="I218" s="43"/>
      <x:c r="J218" s="43" t="str">
        <x:v>Não localizado em fonte pública confiável até 24/07/2026</x:v>
      </x:c>
      <x:c r="K218" s="43" t="str">
        <x:v>Não</x:v>
      </x:c>
      <x:c r="L218" s="43" t="str">
        <x:v>fornecedor de componentes hidráulicos e vedações</x:v>
      </x:c>
      <x:c r="M218" s="43" t="str">
        <x:v>agroindústria, grãos, armazenagem e máquinas agrícolas</x:v>
      </x:c>
      <x:c r="N218" s="43" t="str">
        <x:v>gaxetas de haste e pistão, raspadores, anéis guia, vedações rotativas e kits para cilindros hidráulicos</x:v>
      </x:c>
      <x:c r="O218" s="43" t="str">
        <x:v>vedações em PU, PTFE puro ou carregado, NBR e FKM, dimensionadas conforme pressão, velocidade, fluido e temperatura</x:v>
      </x:c>
      <x:c r="P218" s="43" t="str">
        <x:v>apoiar reformas e montagens com peças não padronizadas, reposições antigas e fabricação rápida por amostra ou desenho</x:v>
      </x:c>
      <x:c r="Q218" s="43" t="str">
        <x:v>Segmento da base: Hidráulica/Vedações; localização: Sorriso/MT; contexto industrial regional usado apenas como hipótese comercial. Sem e-mail público localizado. Nenhuma afirmação sobre clientes ou aplicações específicas da empresa foi feita sem fonte.</x:v>
      </x:c>
      <x:c r="R218" s="43" t="str">
        <x:v>Baixa</x:v>
      </x:c>
      <x:c r="S218" s="43" t="str">
        <x:v>Sim</x:v>
      </x:c>
      <x:c r="T218" s="43" t="str">
        <x:v>Apoio em cilindros e medidas fora de catálogo</x:v>
      </x:c>
      <x:c r="U218" s="43" t="str">
        <x:v>Olá, equipe da Hyclaf Peças Hidráulicas,</x:v>
      </x:c>
      <x:c r="V218" s="43" t="str">
        <x:v>Olá, equipe da Hyclaf Peças Hidráulicas,
Ao analisar o perfil da Hyclaf Peças Hidráulicas em Sorriso, identifiquei uma possibilidade de parceria para demandas de vedação que não se encaixam bem em linhas padronizadas.
Em Sorriso/MT, cadeias como agroindústria, grãos, armazenagem e máquinas agrícolas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NBR, PU, PTFE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218" s="43" t="str">
        <x:v>Olá, equipe da Hyclaf Peças Hidráulicas,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218" s="43" t="str">
        <x:v>Olá, equipe da Hyclaf Peças Hidráulicas,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18" s="43" t="str">
        <x:v>Há cilindros ou equipamentos para os quais vocês têm dificuldade de localizar a vedação correta ou cumprir o prazo do cliente?</x:v>
      </x:c>
      <x:c r="Z218" s="43" t="str">
        <x:v>Este contato foi direcionado a um canal corporativo público por possível aderência entre as atividades das empresas. Para não receber novas mensagens da Parts Seals, responda com REMOVER.</x:v>
      </x:c>
      <x:c r="AA218" s="43" t="str">
        <x:v>Sem e-mail</x:v>
      </x:c>
      <x:c r="AB218" s="43" t="str">
        <x:v>Não</x:v>
      </x:c>
      <x:c r="AC218" s="44"/>
      <x:c r="AD218" s="44"/>
      <x:c r="AE218" s="44"/>
      <x:c r="AF218" s="44"/>
      <x:c r="AG218" s="43"/>
      <x:c r="AH218" s="43"/>
      <x:c r="AI218" s="43" t="str">
        <x:v>Não</x:v>
      </x:c>
      <x:c r="AJ218" s="43"/>
      <x:c r="AK218" s="43"/>
      <x:c r="AL218" s="43" t="str">
        <x:v>https://perfildaindustria.portaldaindustria.com.br/estado/tudo/mt</x:v>
      </x:c>
      <x:c r="AM218" s="43" t="str">
        <x:v>Não localizado em fonte pública confiável até 24/07/2026</x:v>
      </x:c>
      <x:c r="AN218" s="43" t="str">
        <x:v>Pesquise a empresa Hyclaf Peças Hidráulicas, de Sorriso/MT,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18" s="43" t="str">
        <x:v>2026-07-24 v1</x:v>
      </x:c>
    </x:row>
    <x:row r="219" ht="72" customHeight="1">
      <x:c r="A219" s="43" t="n">
        <x:v>218</x:v>
      </x:c>
      <x:c r="B219" s="43" t="str">
        <x:v>Hidropec Comércio de Vedações</x:v>
      </x:c>
      <x:c r="C219" s="43" t="str">
        <x:v>Vedações</x:v>
      </x:c>
      <x:c r="D219" s="43" t="str">
        <x:v>Várzea Grande</x:v>
      </x:c>
      <x:c r="E219" s="43" t="str">
        <x:v>MT</x:v>
      </x:c>
      <x:c r="F219" s="43" t="str">
        <x:v>Centro-Oeste</x:v>
      </x:c>
      <x:c r="G219" s="43" t="str">
        <x:v>B - Média</x:v>
      </x:c>
      <x:c r="H219" s="43" t="str">
        <x:v>Não contatado</x:v>
      </x:c>
      <x:c r="I219" s="43"/>
      <x:c r="J219" s="43" t="str">
        <x:v>Não localizado em fonte pública confiável até 24/07/2026</x:v>
      </x:c>
      <x:c r="K219" s="43" t="str">
        <x:v>Não</x:v>
      </x:c>
      <x:c r="L219" s="43" t="str">
        <x:v>especialista ou revenda de vedações industriais</x:v>
      </x:c>
      <x:c r="M219" s="43" t="str">
        <x:v>alimentos, frigoríficos, logística e manutenção industrial</x:v>
      </x:c>
      <x:c r="N219" s="43" t="str">
        <x:v>gaxetas, raspadores, anéis guia, vedações de haste e pistão, retentores especiais e reposições fora de linha</x:v>
      </x:c>
      <x:c r="O219" s="43" t="str">
        <x:v>peças sob medida em PTFE puro ou carregado, poliuretano, NBR, FKM, nylon e outros materiais técnicos</x:v>
      </x:c>
      <x:c r="P219" s="43" t="str">
        <x:v>complementar o portfólio com itens especiais, pequenas e médias séries, urgências e fabricação por desenho ou amostra</x:v>
      </x:c>
      <x:c r="Q219" s="43" t="str">
        <x:v>Segmento da base: Vedações; localização: Várzea Grande/MT; contexto industrial regional usado apenas como hipótese comercial. Sem e-mail público localizado. Nenhuma afirmação sobre clientes ou aplicações específicas da empresa foi feita sem fonte.</x:v>
      </x:c>
      <x:c r="R219" s="43" t="str">
        <x:v>Baixa</x:v>
      </x:c>
      <x:c r="S219" s="43" t="str">
        <x:v>Sim</x:v>
      </x:c>
      <x:c r="T219" s="43" t="str">
        <x:v>Apoio em vedações sob medida para a Hidropec Comércio de Vedações</x:v>
      </x:c>
      <x:c r="U219" s="43" t="str">
        <x:v>Olá, equipe da Hidropec Comércio de Vedações,</x:v>
      </x:c>
      <x:c r="V219" s="43" t="str">
        <x:v>Olá, equipe da Hidropec Comércio de Vedações,
A Parts Seals está ampliando parcerias com empresas técnicas do setor, e o perfil da Hidropec Comércio de Vedações chamou nossa atenção pela atuação em vedações.
Em Várzea Grande/MT, cadeias como alimentos, frigoríficos, logística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19" s="43" t="str">
        <x:v>Olá, equipe da Hidropec Comércio de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19" s="43" t="str">
        <x:v>Olá, equipe da Hidropec Comércio de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19" s="43" t="str">
        <x:v>Vocês recebem consultas de peças especiais que acabam sem atendimento por prazo, material, quantidade ou ausência de desenho?</x:v>
      </x:c>
      <x:c r="Z219" s="43" t="str">
        <x:v>Este contato foi direcionado a um canal corporativo público por possível aderência entre as atividades das empresas. Para não receber novas mensagens da Parts Seals, responda com REMOVER.</x:v>
      </x:c>
      <x:c r="AA219" s="43" t="str">
        <x:v>Sem e-mail</x:v>
      </x:c>
      <x:c r="AB219" s="43" t="str">
        <x:v>Não</x:v>
      </x:c>
      <x:c r="AC219" s="44"/>
      <x:c r="AD219" s="44"/>
      <x:c r="AE219" s="44"/>
      <x:c r="AF219" s="44"/>
      <x:c r="AG219" s="43"/>
      <x:c r="AH219" s="43"/>
      <x:c r="AI219" s="43" t="str">
        <x:v>Não</x:v>
      </x:c>
      <x:c r="AJ219" s="43"/>
      <x:c r="AK219" s="43"/>
      <x:c r="AL219" s="43" t="str">
        <x:v>https://perfildaindustria.portaldaindustria.com.br/estado/tudo/mt</x:v>
      </x:c>
      <x:c r="AM219" s="43" t="str">
        <x:v>Não localizado em fonte pública confiável até 24/07/2026</x:v>
      </x:c>
      <x:c r="AN219" s="43" t="str">
        <x:v>Pesquise a empresa Hidropec Comércio de Vedações, de Várzea Grande/MT,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19" s="43" t="str">
        <x:v>2026-07-24 v1</x:v>
      </x:c>
    </x:row>
    <x:row r="220" ht="72" customHeight="1">
      <x:c r="A220" s="43" t="n">
        <x:v>219</x:v>
      </x:c>
      <x:c r="B220" s="43" t="str">
        <x:v>Vedacom Distribuidora</x:v>
      </x:c>
      <x:c r="C220" s="43" t="str">
        <x:v>Distribuidora</x:v>
      </x:c>
      <x:c r="D220" s="43" t="str">
        <x:v>Várzea Grande</x:v>
      </x:c>
      <x:c r="E220" s="43" t="str">
        <x:v>MT</x:v>
      </x:c>
      <x:c r="F220" s="43" t="str">
        <x:v>Centro-Oeste</x:v>
      </x:c>
      <x:c r="G220" s="43" t="str">
        <x:v>A - Alta</x:v>
      </x:c>
      <x:c r="H220" s="43" t="str">
        <x:v>Não contatado</x:v>
      </x:c>
      <x:c r="I220" s="43"/>
      <x:c r="J220" s="43" t="str">
        <x:v>Não localizado em fonte pública confiável até 24/07/2026</x:v>
      </x:c>
      <x:c r="K220" s="43" t="str">
        <x:v>Não</x:v>
      </x:c>
      <x:c r="L220" s="43" t="str">
        <x:v>distribuidor de componentes industriais</x:v>
      </x:c>
      <x:c r="M220" s="43" t="str">
        <x:v>alimentos, frigoríficos, logística e manutenção industrial</x:v>
      </x:c>
      <x:c r="N220" s="43" t="str">
        <x:v>reposições industriais, itens fora de linha, medidas especiais e demandas de manutenção</x:v>
      </x:c>
      <x:c r="O220" s="43" t="str">
        <x:v>vedações e componentes sob medida em PTFE, PU, NBR, FKM e materiais técnicos</x:v>
      </x:c>
      <x:c r="P220" s="43" t="str">
        <x:v>complementar o portfólio sem necessidade de estoque amplo, produzindo por desenho ou amostra</x:v>
      </x:c>
      <x:c r="Q220" s="43" t="str">
        <x:v>Segmento da base: Distribuidora; localização: Várzea Grande/MT; contexto industrial regional usado apenas como hipótese comercial. Sem e-mail público localizado. Nenhuma afirmação sobre clientes ou aplicações específicas da empresa foi feita sem fonte.</x:v>
      </x:c>
      <x:c r="R220" s="43" t="str">
        <x:v>Baixa</x:v>
      </x:c>
      <x:c r="S220" s="43" t="str">
        <x:v>Sim</x:v>
      </x:c>
      <x:c r="T220" s="43" t="str">
        <x:v>Demandas fora de catálogo na Vedacom Distribuidora</x:v>
      </x:c>
      <x:c r="U220" s="43" t="str">
        <x:v>Olá, equipe da Vedacom Distribuidora,</x:v>
      </x:c>
      <x:c r="V220" s="43" t="str">
        <x:v>Olá, equipe da Vedacom Distribuidora,
Gostaria de apresentar uma possibilidade de apoio complementar à Vedacom Distribuidora para peças especiais, urgências e reposições fora de catálogo.
Em Várzea Grande/MT, cadeias como alimentos, frigoríficos, logística e manutenção industrial costumam gerar solicitações de vedações especiais, principalmente quando há pressão, desgaste, ataque químico, temperatura ou dificuldade de reposição. Para o perfil de distribuidor de componentes industriais, vemos maior aderência em reposições industriais, itens fora de linha, medidas especiais e demandas de manutenção.
A Parts Seals pode apoiar com vedações e componentes sob medida em PTFE, PU, NBR, FKM e materiais técnicos. A seleção final do material é validada conforme a aplicação; para as demandas mais comuns da região, vale avaliar especialmente NBR, PU, PTFE e FKM. Nosso objetivo é complementar o portfólio sem necessidade de estoque amplo, produzindo por desenho ou amostra.
Há famílias de vedações que seus clientes solicitam, mas que hoje ficam fora do portfólio por baixa recorrência?
Posso encaminhar uma apresentação curta ou avaliar um item real, sem compromisso?
Atenciosamente,
{{NOME_REMETENTE}}
Parts Seals Vedações Industriais
{{TELEFONE_REMETENTE}} | {{SITE_REMETENTE}}</x:v>
      </x:c>
      <x:c r="W220" s="43" t="str">
        <x:v>Olá, equipe da Vedacom Distribuidora,
Retomando meu contato: pelo perfil de distribuidora de vocês, acredito que podemos apoiar principalmente em reposições industriais, itens fora de linha, medidas especiais e demandas de manutenção.
Se tiverem uma medida, desenho ou foto de um item difícil de localizar, podemos fazer uma análise inicial e indicar o material mais adequado. Há algum caso em aberto que possamos avaliar?
Atenciosamente,
{{NOME_REMETENTE}}
Parts Seals Vedações Industriais</x:v>
      </x:c>
      <x:c r="X220" s="43" t="str">
        <x:v>Olá, equipe da Vedacom Distribuidora,
Encerrando meu contato para não insistir. Caso surja alguma demanda de reposições industriais, itens fora de linha, medidas especiais e demandas de manutenção,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20" s="43" t="str">
        <x:v>Há famílias de vedações que seus clientes solicitam, mas que hoje ficam fora do portfólio por baixa recorrência?</x:v>
      </x:c>
      <x:c r="Z220" s="43" t="str">
        <x:v>Este contato foi direcionado a um canal corporativo público por possível aderência entre as atividades das empresas. Para não receber novas mensagens da Parts Seals, responda com REMOVER.</x:v>
      </x:c>
      <x:c r="AA220" s="43" t="str">
        <x:v>Sem e-mail</x:v>
      </x:c>
      <x:c r="AB220" s="43" t="str">
        <x:v>Não</x:v>
      </x:c>
      <x:c r="AC220" s="44"/>
      <x:c r="AD220" s="44"/>
      <x:c r="AE220" s="44"/>
      <x:c r="AF220" s="44"/>
      <x:c r="AG220" s="43"/>
      <x:c r="AH220" s="43"/>
      <x:c r="AI220" s="43" t="str">
        <x:v>Não</x:v>
      </x:c>
      <x:c r="AJ220" s="43"/>
      <x:c r="AK220" s="43"/>
      <x:c r="AL220" s="43" t="str">
        <x:v>https://perfildaindustria.portaldaindustria.com.br/estado/tudo/mt</x:v>
      </x:c>
      <x:c r="AM220" s="43" t="str">
        <x:v>Não localizado em fonte pública confiável até 24/07/2026</x:v>
      </x:c>
      <x:c r="AN220" s="43" t="str">
        <x:v>Pesquise a empresa Vedacom Distribuidora, de Várzea Grande/MT,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20" s="43" t="str">
        <x:v>2026-07-24 v1</x:v>
      </x:c>
    </x:row>
    <x:row r="221" ht="72" customHeight="1">
      <x:c r="A221" s="43" t="n">
        <x:v>220</x:v>
      </x:c>
      <x:c r="B221" s="43" t="str">
        <x:v>Vedavel Comércio de Vedações Industriais</x:v>
      </x:c>
      <x:c r="C221" s="43" t="str">
        <x:v>Vedações</x:v>
      </x:c>
      <x:c r="D221" s="43" t="str">
        <x:v>Camaçari</x:v>
      </x:c>
      <x:c r="E221" s="43" t="str">
        <x:v>BA</x:v>
      </x:c>
      <x:c r="F221" s="43" t="str">
        <x:v>Nordeste</x:v>
      </x:c>
      <x:c r="G221" s="43" t="str">
        <x:v>B - Média</x:v>
      </x:c>
      <x:c r="H221" s="43" t="str">
        <x:v>Não contatado</x:v>
      </x:c>
      <x:c r="I221" s="43" t="str">
        <x:v>vedavel@vedavel.com.br</x:v>
      </x:c>
      <x:c r="J221" s="43" t="str">
        <x:v>https://vedavel.com.br/contato.php</x:v>
      </x:c>
      <x:c r="K221" s="43" t="str">
        <x:v>Sim</x:v>
      </x:c>
      <x:c r="L221" s="43" t="str">
        <x:v>especialista ou revenda de vedações industriais</x:v>
      </x:c>
      <x:c r="M221" s="43" t="str">
        <x:v>petroquímica, química, automotivo e manutenção de processo</x:v>
      </x:c>
      <x:c r="N221" s="43" t="str">
        <x:v>gaxetas, raspadores, anéis guia, vedações de haste e pistão, retentores especiais e reposições fora de linha</x:v>
      </x:c>
      <x:c r="O221" s="43" t="str">
        <x:v>peças sob medida em PTFE puro ou carregado, poliuretano, NBR, FKM, nylon e outros materiais técnicos</x:v>
      </x:c>
      <x:c r="P221" s="43" t="str">
        <x:v>complementar o portfólio com itens especiais, pequenas e médias séries, urgências e fabricação por desenho ou amostra</x:v>
      </x:c>
      <x:c r="Q221" s="43" t="str">
        <x:v>Segmento da base: Vedações; localização: Camaçari/BA; contexto industrial regional usado apenas como hipótese comercial. Domínio do e-mail coincide com a fonte oficial. Nenhuma afirmação sobre clientes ou aplicações específicas da empresa foi feita sem fonte.</x:v>
      </x:c>
      <x:c r="R221" s="43" t="str">
        <x:v>Alta</x:v>
      </x:c>
      <x:c r="S221" s="43" t="str">
        <x:v>Recomendada</x:v>
      </x:c>
      <x:c r="T221" s="43" t="str">
        <x:v>Peças especiais para complementar o atendimento da Vedavel Comércio de Vedações Industriais</x:v>
      </x:c>
      <x:c r="U221" s="43" t="str">
        <x:v>Olá, equipe da Vedavel Comércio de Vedações Industriais,</x:v>
      </x:c>
      <x:c r="V221" s="43" t="str">
        <x:v>Olá, equipe da Vedavel Comércio de Vedações Industriais,
Estou entrando em contato porque a atuação da Vedavel Comércio de Vedações Industriais em vedações tem boa aderência ao tipo de fabricação especial que realizamos na Parts Seals.
Em Camaçari/BA, cadeias como petroquímica, química, automotivo e manutenção de processo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FKM, NBR e PU.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21" s="43" t="str">
        <x:v>Olá, equipe da Vedavel Comércio de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21" s="43" t="str">
        <x:v>Olá, equipe da Vedavel Comércio de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21" s="43" t="str">
        <x:v>Vocês recebem consultas de peças especiais que acabam sem atendimento por prazo, material, quantidade ou ausência de desenho?</x:v>
      </x:c>
      <x:c r="Z221" s="43" t="str">
        <x:v>Este contato foi direcionado a um canal corporativo público por possível aderência entre as atividades das empresas. Para não receber novas mensagens da Parts Seals, responda com REMOVER.</x:v>
      </x:c>
      <x:c r="AA221" s="43" t="str">
        <x:v>Aguardando aprovação</x:v>
      </x:c>
      <x:c r="AB221" s="43" t="str">
        <x:v>Não</x:v>
      </x:c>
      <x:c r="AC221" s="44"/>
      <x:c r="AD221" s="44"/>
      <x:c r="AE221" s="44"/>
      <x:c r="AF221" s="44"/>
      <x:c r="AG221" s="43"/>
      <x:c r="AH221" s="43"/>
      <x:c r="AI221" s="43" t="str">
        <x:v>Não</x:v>
      </x:c>
      <x:c r="AJ221" s="43"/>
      <x:c r="AK221" s="43"/>
      <x:c r="AL221" s="43" t="str">
        <x:v>https://perfildaindustria.portaldaindustria.com.br/estado/tudo/ba | https://www.gov.br/anp/pt-br/centrais-de-conteudo/paineis-dinamicos-da-anp/paineis-dinamicos-sobre-exploracao-e-producao-de-petroleo-e-gas/painel-de-pocos-na-fase-de-producao | https://ibram.org.br/</x:v>
      </x:c>
      <x:c r="AM221" s="43" t="str">
        <x:v>https://vedavel.com.br/contato.php</x:v>
      </x:c>
      <x:c r="AN221" s="43" t="str">
        <x:v>Pesquise a empresa Vedavel Comércio de Vedações Industriais, de Camaçari/BA,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21" s="43" t="str">
        <x:v>2026-07-24 v1</x:v>
      </x:c>
    </x:row>
    <x:row r="222" ht="72" customHeight="1">
      <x:c r="A222" s="43" t="n">
        <x:v>221</x:v>
      </x:c>
      <x:c r="B222" s="43" t="str">
        <x:v>BME Retentores e Rolamentos</x:v>
      </x:c>
      <x:c r="C222" s="43" t="str">
        <x:v>Rolamentos/Vedações</x:v>
      </x:c>
      <x:c r="D222" s="43" t="str">
        <x:v>Salvador</x:v>
      </x:c>
      <x:c r="E222" s="43" t="str">
        <x:v>BA</x:v>
      </x:c>
      <x:c r="F222" s="43" t="str">
        <x:v>Nordeste</x:v>
      </x:c>
      <x:c r="G222" s="43" t="str">
        <x:v>A - Alta</x:v>
      </x:c>
      <x:c r="H222" s="43" t="str">
        <x:v>Não contatado</x:v>
      </x:c>
      <x:c r="I222" s="43"/>
      <x:c r="J222" s="43" t="str">
        <x:v>Não localizado em fonte pública confiável até 24/07/2026</x:v>
      </x:c>
      <x:c r="K222" s="43" t="str">
        <x:v>Não</x:v>
      </x:c>
      <x:c r="L222" s="43" t="str">
        <x:v>distribuidor de rolamentos, retentores e vedações</x:v>
      </x:c>
      <x:c r="M222" s="43" t="str">
        <x:v>petroquímica, óleo e gás, alimentos, portos e manutenção industrial</x:v>
      </x:c>
      <x:c r="N222" s="43" t="str">
        <x:v>retentores especiais, anéis, vedações rotativas, kits e componentes para manutenção de máquinas</x:v>
      </x:c>
      <x:c r="O222" s="43" t="str">
        <x:v>peças especiais em NBR, FKM, PU e PTFE, inclusive medidas fora de catálogo</x:v>
      </x:c>
      <x:c r="P222" s="43" t="str">
        <x:v>complementar a linha padronizada com reposições especiais e itens descontinuados</x:v>
      </x:c>
      <x:c r="Q222" s="43" t="str">
        <x:v>Segmento da base: Rolamentos/Vedações; localização: Salvador/BA; contexto industrial regional usado apenas como hipótese comercial. Sem e-mail público localizado. Nenhuma afirmação sobre clientes ou aplicações específicas da empresa foi feita sem fonte.</x:v>
      </x:c>
      <x:c r="R222" s="43" t="str">
        <x:v>Baixa</x:v>
      </x:c>
      <x:c r="S222" s="43" t="str">
        <x:v>Sim</x:v>
      </x:c>
      <x:c r="T222" s="43" t="str">
        <x:v>Medidas fora de catálogo — apoio Parts Seals</x:v>
      </x:c>
      <x:c r="U222" s="43" t="str">
        <x:v>Olá, equipe da BME Retentores e Rolamentos,</x:v>
      </x:c>
      <x:c r="V222" s="43" t="str">
        <x:v>Olá, equipe da BME Retentores e Rolamentos,
Ao analisar o perfil da BME Retentores e Rolamentos em Salvador, identifiquei uma possibilidade de parceria para demandas de vedação que não se encaixam bem em linhas padronizadas.
Em Salvador/BA, cadeias como petroquímica, óleo e gás, alimentos, portos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PTFE, FKM, PU e NBR.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222" s="43" t="str">
        <x:v>Olá, equipe da BME Retentores e Rolamentos,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222" s="43" t="str">
        <x:v>Olá, equipe da BME Retentores e Rolamentos,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22" s="43" t="str">
        <x:v>Vocês têm pedidos de retentores ou vedações em medidas especiais que não encontram nos catálogos tradicionais?</x:v>
      </x:c>
      <x:c r="Z222" s="43" t="str">
        <x:v>Este contato foi direcionado a um canal corporativo público por possível aderência entre as atividades das empresas. Para não receber novas mensagens da Parts Seals, responda com REMOVER.</x:v>
      </x:c>
      <x:c r="AA222" s="43" t="str">
        <x:v>Sem e-mail</x:v>
      </x:c>
      <x:c r="AB222" s="43" t="str">
        <x:v>Não</x:v>
      </x:c>
      <x:c r="AC222" s="44"/>
      <x:c r="AD222" s="44"/>
      <x:c r="AE222" s="44"/>
      <x:c r="AF222" s="44"/>
      <x:c r="AG222" s="43"/>
      <x:c r="AH222" s="43"/>
      <x:c r="AI222" s="43" t="str">
        <x:v>Não</x:v>
      </x:c>
      <x:c r="AJ222" s="43"/>
      <x:c r="AK222" s="43"/>
      <x:c r="AL222" s="43" t="str">
        <x:v>https://perfildaindustria.portaldaindustria.com.br/estado/tudo/ba | https://www.gov.br/anp/pt-br/centrais-de-conteudo/paineis-dinamicos-da-anp/paineis-dinamicos-sobre-exploracao-e-producao-de-petroleo-e-gas/painel-de-pocos-na-fase-de-producao | https://ibram.org.br/</x:v>
      </x:c>
      <x:c r="AM222" s="43" t="str">
        <x:v>Não localizado em fonte pública confiável até 24/07/2026</x:v>
      </x:c>
      <x:c r="AN222" s="43" t="str">
        <x:v>Pesquise a empresa BME Retentores e Rolamentos, de Salvador/BA,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22" s="43" t="str">
        <x:v>2026-07-24 v1</x:v>
      </x:c>
    </x:row>
    <x:row r="223" ht="72" customHeight="1">
      <x:c r="A223" s="43" t="n">
        <x:v>222</x:v>
      </x:c>
      <x:c r="B223" s="43" t="str">
        <x:v>Central dos Retentores</x:v>
      </x:c>
      <x:c r="C223" s="43" t="str">
        <x:v>Vedações</x:v>
      </x:c>
      <x:c r="D223" s="43" t="str">
        <x:v>Salvador</x:v>
      </x:c>
      <x:c r="E223" s="43" t="str">
        <x:v>BA</x:v>
      </x:c>
      <x:c r="F223" s="43" t="str">
        <x:v>Nordeste</x:v>
      </x:c>
      <x:c r="G223" s="43" t="str">
        <x:v>B - Média</x:v>
      </x:c>
      <x:c r="H223" s="43" t="str">
        <x:v>Não contatado</x:v>
      </x:c>
      <x:c r="I223" s="43"/>
      <x:c r="J223" s="43" t="str">
        <x:v>Não localizado em fonte pública confiável até 24/07/2026</x:v>
      </x:c>
      <x:c r="K223" s="43" t="str">
        <x:v>Não</x:v>
      </x:c>
      <x:c r="L223" s="43" t="str">
        <x:v>especialista ou revenda de vedações industriais</x:v>
      </x:c>
      <x:c r="M223" s="43" t="str">
        <x:v>petroquímica, óleo e gás, alimentos, portos e manutenção industrial</x:v>
      </x:c>
      <x:c r="N223" s="43" t="str">
        <x:v>gaxetas, raspadores, anéis guia, vedações de haste e pistão, retentores especiais e reposições fora de linha</x:v>
      </x:c>
      <x:c r="O223" s="43" t="str">
        <x:v>peças sob medida em PTFE puro ou carregado, poliuretano, NBR, FKM, nylon e outros materiais técnicos</x:v>
      </x:c>
      <x:c r="P223" s="43" t="str">
        <x:v>complementar o portfólio com itens especiais, pequenas e médias séries, urgências e fabricação por desenho ou amostra</x:v>
      </x:c>
      <x:c r="Q223" s="43" t="str">
        <x:v>Segmento da base: Vedações; localização: Salvador/BA; contexto industrial regional usado apenas como hipótese comercial. Sem e-mail público localizado. Nenhuma afirmação sobre clientes ou aplicações específicas da empresa foi feita sem fonte.</x:v>
      </x:c>
      <x:c r="R223" s="43" t="str">
        <x:v>Baixa</x:v>
      </x:c>
      <x:c r="S223" s="43" t="str">
        <x:v>Sim</x:v>
      </x:c>
      <x:c r="T223" s="43" t="str">
        <x:v>Apoio em vedações sob medida para a Central dos Retentores</x:v>
      </x:c>
      <x:c r="U223" s="43" t="str">
        <x:v>Olá, equipe da Central dos Retentores,</x:v>
      </x:c>
      <x:c r="V223" s="43" t="str">
        <x:v>Olá, equipe da Central dos Retentores,
A Parts Seals está ampliando parcerias com empresas técnicas do setor, e o perfil da Central dos Retentores chamou nossa atenção pela atuação em vedações.
Em Salvador/BA, cadeias como petroquímica, óleo e gás, alimentos, portos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FKM, PU e NBR.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23" s="43" t="str">
        <x:v>Olá, equipe da Central dos Retentores,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23" s="43" t="str">
        <x:v>Olá, equipe da Central dos Retentores,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23" s="43" t="str">
        <x:v>Vocês recebem consultas de peças especiais que acabam sem atendimento por prazo, material, quantidade ou ausência de desenho?</x:v>
      </x:c>
      <x:c r="Z223" s="43" t="str">
        <x:v>Este contato foi direcionado a um canal corporativo público por possível aderência entre as atividades das empresas. Para não receber novas mensagens da Parts Seals, responda com REMOVER.</x:v>
      </x:c>
      <x:c r="AA223" s="43" t="str">
        <x:v>Sem e-mail</x:v>
      </x:c>
      <x:c r="AB223" s="43" t="str">
        <x:v>Não</x:v>
      </x:c>
      <x:c r="AC223" s="44"/>
      <x:c r="AD223" s="44"/>
      <x:c r="AE223" s="44"/>
      <x:c r="AF223" s="44"/>
      <x:c r="AG223" s="43"/>
      <x:c r="AH223" s="43"/>
      <x:c r="AI223" s="43" t="str">
        <x:v>Não</x:v>
      </x:c>
      <x:c r="AJ223" s="43"/>
      <x:c r="AK223" s="43"/>
      <x:c r="AL223" s="43" t="str">
        <x:v>https://perfildaindustria.portaldaindustria.com.br/estado/tudo/ba | https://www.gov.br/anp/pt-br/centrais-de-conteudo/paineis-dinamicos-da-anp/paineis-dinamicos-sobre-exploracao-e-producao-de-petroleo-e-gas/painel-de-pocos-na-fase-de-producao | https://ibram.org.br/</x:v>
      </x:c>
      <x:c r="AM223" s="43" t="str">
        <x:v>Não localizado em fonte pública confiável até 24/07/2026</x:v>
      </x:c>
      <x:c r="AN223" s="43" t="str">
        <x:v>Pesquise a empresa Central dos Retentores, de Salvador/BA,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23" s="43" t="str">
        <x:v>2026-07-24 v1</x:v>
      </x:c>
    </x:row>
    <x:row r="224" ht="72" customHeight="1">
      <x:c r="A224" s="43" t="n">
        <x:v>223</x:v>
      </x:c>
      <x:c r="B224" s="43" t="str">
        <x:v>Mundo das Vedações</x:v>
      </x:c>
      <x:c r="C224" s="43" t="str">
        <x:v>Fabricante/Vedações</x:v>
      </x:c>
      <x:c r="D224" s="43" t="str">
        <x:v>Salvador</x:v>
      </x:c>
      <x:c r="E224" s="43" t="str">
        <x:v>BA</x:v>
      </x:c>
      <x:c r="F224" s="43" t="str">
        <x:v>Nordeste</x:v>
      </x:c>
      <x:c r="G224" s="43" t="str">
        <x:v>Sem dados - qualificar</x:v>
      </x:c>
      <x:c r="H224" s="43" t="str">
        <x:v>Não contatado</x:v>
      </x:c>
      <x:c r="I224" s="43"/>
      <x:c r="J224" s="43" t="str">
        <x:v>Não localizado em fonte pública confiável até 24/07/2026</x:v>
      </x:c>
      <x:c r="K224" s="43" t="str">
        <x:v>Não</x:v>
      </x:c>
      <x:c r="L224" s="43" t="str">
        <x:v>fabricante ou transformador especializado em vedações</x:v>
      </x:c>
      <x:c r="M224" s="43" t="str">
        <x:v>petroquímica, óleo e gás, alimentos, portos e manutenção industrial</x:v>
      </x:c>
      <x:c r="N224" s="43" t="str">
        <x:v>itens fora de padrão, picos de demanda, protótipos, reposições urgentes e lotes que exigem processo ou material específico</x:v>
      </x:c>
      <x:c r="O224" s="43" t="str">
        <x:v>componentes usinados e moldados em PTFE puro ou carregado, PU, NBR, FKM e materiais técnicos, conforme desenho ou amostra</x:v>
      </x:c>
      <x:c r="P224" s="43" t="str">
        <x:v>atuar como apoio produtivo complementar, preservando a relação comercial de vocês com o cliente final</x:v>
      </x:c>
      <x:c r="Q224" s="43" t="str">
        <x:v>Segmento da base: Fabricante/Vedações; localização: Salvador/BA; contexto industrial regional usado apenas como hipótese comercial. Sem e-mail público localizado. Nenhuma afirmação sobre clientes ou aplicações específicas da empresa foi feita sem fonte.</x:v>
      </x:c>
      <x:c r="R224" s="43" t="str">
        <x:v>Baixa</x:v>
      </x:c>
      <x:c r="S224" s="43" t="str">
        <x:v>Sim</x:v>
      </x:c>
      <x:c r="T224" s="43" t="str">
        <x:v>Itens urgentes ou fora de padrão — Mundo das Vedações</x:v>
      </x:c>
      <x:c r="U224" s="43" t="str">
        <x:v>Olá, equipe da Mundo das Vedações,</x:v>
      </x:c>
      <x:c r="V224" s="43" t="str">
        <x:v>Olá, equipe da Mundo das Vedações,
Gostaria de apresentar uma possibilidade de apoio complementar à Mundo das Vedações para peças especiais, urgências e reposições fora de catálogo.
Em Salvador/BA, cadeias como petroquímica, óleo e gás, alimentos, portos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PTFE, FKM, PU e NBR.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224" s="43" t="str">
        <x:v>Olá, equipe da Mundo das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224" s="43" t="str">
        <x:v>Olá, equipe da Mundo das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24" s="43" t="str">
        <x:v>Existe hoje algum item especial, urgente ou de baixa quantidade que esteja ocupando capacidade ou ficando sem atendimento?</x:v>
      </x:c>
      <x:c r="Z224" s="43" t="str">
        <x:v>Este contato foi direcionado a um canal corporativo público por possível aderência entre as atividades das empresas. Para não receber novas mensagens da Parts Seals, responda com REMOVER.</x:v>
      </x:c>
      <x:c r="AA224" s="43" t="str">
        <x:v>Sem e-mail</x:v>
      </x:c>
      <x:c r="AB224" s="43" t="str">
        <x:v>Não</x:v>
      </x:c>
      <x:c r="AC224" s="44"/>
      <x:c r="AD224" s="44"/>
      <x:c r="AE224" s="44"/>
      <x:c r="AF224" s="44"/>
      <x:c r="AG224" s="43"/>
      <x:c r="AH224" s="43"/>
      <x:c r="AI224" s="43" t="str">
        <x:v>Não</x:v>
      </x:c>
      <x:c r="AJ224" s="43"/>
      <x:c r="AK224" s="43"/>
      <x:c r="AL224" s="43" t="str">
        <x:v>https://perfildaindustria.portaldaindustria.com.br/estado/tudo/ba | https://www.gov.br/anp/pt-br/centrais-de-conteudo/paineis-dinamicos-da-anp/paineis-dinamicos-sobre-exploracao-e-producao-de-petroleo-e-gas/painel-de-pocos-na-fase-de-producao | https://ibram.org.br/</x:v>
      </x:c>
      <x:c r="AM224" s="43" t="str">
        <x:v>Não localizado em fonte pública confiável até 24/07/2026</x:v>
      </x:c>
      <x:c r="AN224" s="43" t="str">
        <x:v>Pesquise a empresa Mundo das Vedações, de Salvador/BA,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24" s="43" t="str">
        <x:v>2026-07-24 v1</x:v>
      </x:c>
    </x:row>
    <x:row r="225" ht="72" customHeight="1">
      <x:c r="A225" s="43" t="n">
        <x:v>224</x:v>
      </x:c>
      <x:c r="B225" s="43" t="str">
        <x:v>Mundo dos Retentores</x:v>
      </x:c>
      <x:c r="C225" s="43" t="str">
        <x:v>Vedações</x:v>
      </x:c>
      <x:c r="D225" s="43" t="str">
        <x:v>Salvador</x:v>
      </x:c>
      <x:c r="E225" s="43" t="str">
        <x:v>BA</x:v>
      </x:c>
      <x:c r="F225" s="43" t="str">
        <x:v>Nordeste</x:v>
      </x:c>
      <x:c r="G225" s="43" t="str">
        <x:v>A - Alta</x:v>
      </x:c>
      <x:c r="H225" s="43" t="str">
        <x:v>Não contatado</x:v>
      </x:c>
      <x:c r="I225" s="43"/>
      <x:c r="J225" s="43" t="str">
        <x:v>Não localizado em fonte pública confiável até 24/07/2026</x:v>
      </x:c>
      <x:c r="K225" s="43" t="str">
        <x:v>Não</x:v>
      </x:c>
      <x:c r="L225" s="43" t="str">
        <x:v>especialista ou revenda de vedações industriais</x:v>
      </x:c>
      <x:c r="M225" s="43" t="str">
        <x:v>petroquímica, óleo e gás, alimentos, portos e manutenção industrial</x:v>
      </x:c>
      <x:c r="N225" s="43" t="str">
        <x:v>gaxetas, raspadores, anéis guia, vedações de haste e pistão, retentores especiais e reposições fora de linha</x:v>
      </x:c>
      <x:c r="O225" s="43" t="str">
        <x:v>peças sob medida em PTFE puro ou carregado, poliuretano, NBR, FKM, nylon e outros materiais técnicos</x:v>
      </x:c>
      <x:c r="P225" s="43" t="str">
        <x:v>complementar o portfólio com itens especiais, pequenas e médias séries, urgências e fabricação por desenho ou amostra</x:v>
      </x:c>
      <x:c r="Q225" s="43" t="str">
        <x:v>Segmento da base: Vedações; localização: Salvador/BA; contexto industrial regional usado apenas como hipótese comercial. Sem e-mail público localizado. Nenhuma afirmação sobre clientes ou aplicações específicas da empresa foi feita sem fonte.</x:v>
      </x:c>
      <x:c r="R225" s="43" t="str">
        <x:v>Baixa</x:v>
      </x:c>
      <x:c r="S225" s="43" t="str">
        <x:v>Sim</x:v>
      </x:c>
      <x:c r="T225" s="43" t="str">
        <x:v>Peças especiais para complementar o atendimento da Mundo dos Retentores</x:v>
      </x:c>
      <x:c r="U225" s="43" t="str">
        <x:v>Olá, equipe da Mundo dos Retentores,</x:v>
      </x:c>
      <x:c r="V225" s="43" t="str">
        <x:v>Olá, equipe da Mundo dos Retentores,
Estou entrando em contato porque a atuação da Mundo dos Retentores em vedações tem boa aderência ao tipo de fabricação especial que realizamos na Parts Seals.
Em Salvador/BA, cadeias como petroquímica, óleo e gás, alimentos, portos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FKM, PU e NBR.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25" s="43" t="str">
        <x:v>Olá, equipe da Mundo dos Retentores,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25" s="43" t="str">
        <x:v>Olá, equipe da Mundo dos Retentores,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25" s="43" t="str">
        <x:v>Vocês recebem consultas de peças especiais que acabam sem atendimento por prazo, material, quantidade ou ausência de desenho?</x:v>
      </x:c>
      <x:c r="Z225" s="43" t="str">
        <x:v>Este contato foi direcionado a um canal corporativo público por possível aderência entre as atividades das empresas. Para não receber novas mensagens da Parts Seals, responda com REMOVER.</x:v>
      </x:c>
      <x:c r="AA225" s="43" t="str">
        <x:v>Sem e-mail</x:v>
      </x:c>
      <x:c r="AB225" s="43" t="str">
        <x:v>Não</x:v>
      </x:c>
      <x:c r="AC225" s="44"/>
      <x:c r="AD225" s="44"/>
      <x:c r="AE225" s="44"/>
      <x:c r="AF225" s="44"/>
      <x:c r="AG225" s="43"/>
      <x:c r="AH225" s="43"/>
      <x:c r="AI225" s="43" t="str">
        <x:v>Não</x:v>
      </x:c>
      <x:c r="AJ225" s="43"/>
      <x:c r="AK225" s="43"/>
      <x:c r="AL225" s="43" t="str">
        <x:v>https://perfildaindustria.portaldaindustria.com.br/estado/tudo/ba | https://www.gov.br/anp/pt-br/centrais-de-conteudo/paineis-dinamicos-da-anp/paineis-dinamicos-sobre-exploracao-e-producao-de-petroleo-e-gas/painel-de-pocos-na-fase-de-producao | https://ibram.org.br/</x:v>
      </x:c>
      <x:c r="AM225" s="43" t="str">
        <x:v>Não localizado em fonte pública confiável até 24/07/2026</x:v>
      </x:c>
      <x:c r="AN225" s="43" t="str">
        <x:v>Pesquise a empresa Mundo dos Retentores, de Salvador/BA,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25" s="43" t="str">
        <x:v>2026-07-24 v1</x:v>
      </x:c>
    </x:row>
    <x:row r="226" ht="72" customHeight="1">
      <x:c r="A226" s="43" t="n">
        <x:v>225</x:v>
      </x:c>
      <x:c r="B226" s="43" t="str">
        <x:v>Reteb Retentores</x:v>
      </x:c>
      <x:c r="C226" s="43" t="str">
        <x:v>Vedações</x:v>
      </x:c>
      <x:c r="D226" s="43" t="str">
        <x:v>Salvador</x:v>
      </x:c>
      <x:c r="E226" s="43" t="str">
        <x:v>BA</x:v>
      </x:c>
      <x:c r="F226" s="43" t="str">
        <x:v>Nordeste</x:v>
      </x:c>
      <x:c r="G226" s="43" t="str">
        <x:v>B - Média</x:v>
      </x:c>
      <x:c r="H226" s="43" t="str">
        <x:v>Não contatado</x:v>
      </x:c>
      <x:c r="I226" s="43"/>
      <x:c r="J226" s="43" t="str">
        <x:v>Não localizado em fonte pública confiável até 24/07/2026</x:v>
      </x:c>
      <x:c r="K226" s="43" t="str">
        <x:v>Não</x:v>
      </x:c>
      <x:c r="L226" s="43" t="str">
        <x:v>especialista ou revenda de vedações industriais</x:v>
      </x:c>
      <x:c r="M226" s="43" t="str">
        <x:v>petroquímica, óleo e gás, alimentos, portos e manutenção industrial</x:v>
      </x:c>
      <x:c r="N226" s="43" t="str">
        <x:v>gaxetas, raspadores, anéis guia, vedações de haste e pistão, retentores especiais e reposições fora de linha</x:v>
      </x:c>
      <x:c r="O226" s="43" t="str">
        <x:v>peças sob medida em PTFE puro ou carregado, poliuretano, NBR, FKM, nylon e outros materiais técnicos</x:v>
      </x:c>
      <x:c r="P226" s="43" t="str">
        <x:v>complementar o portfólio com itens especiais, pequenas e médias séries, urgências e fabricação por desenho ou amostra</x:v>
      </x:c>
      <x:c r="Q226" s="43" t="str">
        <x:v>Segmento da base: Vedações; localização: Salvador/BA; contexto industrial regional usado apenas como hipótese comercial. Sem e-mail público localizado. Nenhuma afirmação sobre clientes ou aplicações específicas da empresa foi feita sem fonte.</x:v>
      </x:c>
      <x:c r="R226" s="43" t="str">
        <x:v>Baixa</x:v>
      </x:c>
      <x:c r="S226" s="43" t="str">
        <x:v>Sim</x:v>
      </x:c>
      <x:c r="T226" s="43" t="str">
        <x:v>Possível parceria técnica — Reteb Retentores e Parts Seals</x:v>
      </x:c>
      <x:c r="U226" s="43" t="str">
        <x:v>Olá, equipe da Reteb Retentores,</x:v>
      </x:c>
      <x:c r="V226" s="43" t="str">
        <x:v>Olá, equipe da Reteb Retentores,
Ao analisar o perfil da Reteb Retentores em Salvador, identifiquei uma possibilidade de parceria para demandas de vedação que não se encaixam bem em linhas padronizadas.
Em Salvador/BA, cadeias como petroquímica, óleo e gás, alimentos, portos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FKM, PU e NBR.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26" s="43" t="str">
        <x:v>Olá, equipe da Reteb Retentores,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26" s="43" t="str">
        <x:v>Olá, equipe da Reteb Retentores,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26" s="43" t="str">
        <x:v>Vocês recebem consultas de peças especiais que acabam sem atendimento por prazo, material, quantidade ou ausência de desenho?</x:v>
      </x:c>
      <x:c r="Z226" s="43" t="str">
        <x:v>Este contato foi direcionado a um canal corporativo público por possível aderência entre as atividades das empresas. Para não receber novas mensagens da Parts Seals, responda com REMOVER.</x:v>
      </x:c>
      <x:c r="AA226" s="43" t="str">
        <x:v>Sem e-mail</x:v>
      </x:c>
      <x:c r="AB226" s="43" t="str">
        <x:v>Não</x:v>
      </x:c>
      <x:c r="AC226" s="44"/>
      <x:c r="AD226" s="44"/>
      <x:c r="AE226" s="44"/>
      <x:c r="AF226" s="44"/>
      <x:c r="AG226" s="43"/>
      <x:c r="AH226" s="43"/>
      <x:c r="AI226" s="43" t="str">
        <x:v>Não</x:v>
      </x:c>
      <x:c r="AJ226" s="43"/>
      <x:c r="AK226" s="43"/>
      <x:c r="AL226" s="43" t="str">
        <x:v>https://perfildaindustria.portaldaindustria.com.br/estado/tudo/ba | https://www.gov.br/anp/pt-br/centrais-de-conteudo/paineis-dinamicos-da-anp/paineis-dinamicos-sobre-exploracao-e-producao-de-petroleo-e-gas/painel-de-pocos-na-fase-de-producao | https://ibram.org.br/</x:v>
      </x:c>
      <x:c r="AM226" s="43" t="str">
        <x:v>Não localizado em fonte pública confiável até 24/07/2026</x:v>
      </x:c>
      <x:c r="AN226" s="43" t="str">
        <x:v>Pesquise a empresa Reteb Retentores, de Salvador/BA,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26" s="43" t="str">
        <x:v>2026-07-24 v1</x:v>
      </x:c>
    </x:row>
    <x:row r="227" ht="72" customHeight="1">
      <x:c r="A227" s="43" t="n">
        <x:v>226</x:v>
      </x:c>
      <x:c r="B227" s="43" t="str">
        <x:v>VW Retentores e Vedações</x:v>
      </x:c>
      <x:c r="C227" s="43" t="str">
        <x:v>Vedações</x:v>
      </x:c>
      <x:c r="D227" s="43" t="str">
        <x:v>Salvador</x:v>
      </x:c>
      <x:c r="E227" s="43" t="str">
        <x:v>BA</x:v>
      </x:c>
      <x:c r="F227" s="43" t="str">
        <x:v>Nordeste</x:v>
      </x:c>
      <x:c r="G227" s="43" t="str">
        <x:v>C - Baixa</x:v>
      </x:c>
      <x:c r="H227" s="43" t="str">
        <x:v>Não contatado</x:v>
      </x:c>
      <x:c r="I227" s="43"/>
      <x:c r="J227" s="43" t="str">
        <x:v>Não localizado em fonte pública confiável até 24/07/2026</x:v>
      </x:c>
      <x:c r="K227" s="43" t="str">
        <x:v>Não</x:v>
      </x:c>
      <x:c r="L227" s="43" t="str">
        <x:v>especialista ou revenda de vedações industriais</x:v>
      </x:c>
      <x:c r="M227" s="43" t="str">
        <x:v>petroquímica, óleo e gás, alimentos, portos e manutenção industrial</x:v>
      </x:c>
      <x:c r="N227" s="43" t="str">
        <x:v>gaxetas, raspadores, anéis guia, vedações de haste e pistão, retentores especiais e reposições fora de linha</x:v>
      </x:c>
      <x:c r="O227" s="43" t="str">
        <x:v>peças sob medida em PTFE puro ou carregado, poliuretano, NBR, FKM, nylon e outros materiais técnicos</x:v>
      </x:c>
      <x:c r="P227" s="43" t="str">
        <x:v>complementar o portfólio com itens especiais, pequenas e médias séries, urgências e fabricação por desenho ou amostra</x:v>
      </x:c>
      <x:c r="Q227" s="43" t="str">
        <x:v>Segmento da base: Vedações; localização: Salvador/BA; contexto industrial regional usado apenas como hipótese comercial. Sem e-mail público localizado. Nenhuma afirmação sobre clientes ou aplicações específicas da empresa foi feita sem fonte.</x:v>
      </x:c>
      <x:c r="R227" s="43" t="str">
        <x:v>Baixa</x:v>
      </x:c>
      <x:c r="S227" s="43" t="str">
        <x:v>Sim</x:v>
      </x:c>
      <x:c r="T227" s="43" t="str">
        <x:v>Apoio em vedações sob medida para a VW Retentores e Vedações</x:v>
      </x:c>
      <x:c r="U227" s="43" t="str">
        <x:v>Olá, equipe da VW Retentores e Vedações,</x:v>
      </x:c>
      <x:c r="V227" s="43" t="str">
        <x:v>Olá, equipe da VW Retentores e Vedações,
A Parts Seals está ampliando parcerias com empresas técnicas do setor, e o perfil da VW Retentores e Vedações chamou nossa atenção pela atuação em vedações.
Em Salvador/BA, cadeias como petroquímica, óleo e gás, alimentos, portos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FKM, PU e NBR.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27" s="43" t="str">
        <x:v>Olá, equipe da VW Retentores e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27" s="43" t="str">
        <x:v>Olá, equipe da VW Retentores e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27" s="43" t="str">
        <x:v>Vocês recebem consultas de peças especiais que acabam sem atendimento por prazo, material, quantidade ou ausência de desenho?</x:v>
      </x:c>
      <x:c r="Z227" s="43" t="str">
        <x:v>Este contato foi direcionado a um canal corporativo público por possível aderência entre as atividades das empresas. Para não receber novas mensagens da Parts Seals, responda com REMOVER.</x:v>
      </x:c>
      <x:c r="AA227" s="43" t="str">
        <x:v>Sem e-mail</x:v>
      </x:c>
      <x:c r="AB227" s="43" t="str">
        <x:v>Não</x:v>
      </x:c>
      <x:c r="AC227" s="44"/>
      <x:c r="AD227" s="44"/>
      <x:c r="AE227" s="44"/>
      <x:c r="AF227" s="44"/>
      <x:c r="AG227" s="43"/>
      <x:c r="AH227" s="43"/>
      <x:c r="AI227" s="43" t="str">
        <x:v>Não</x:v>
      </x:c>
      <x:c r="AJ227" s="43"/>
      <x:c r="AK227" s="43"/>
      <x:c r="AL227" s="43" t="str">
        <x:v>https://perfildaindustria.portaldaindustria.com.br/estado/tudo/ba | https://www.gov.br/anp/pt-br/centrais-de-conteudo/paineis-dinamicos-da-anp/paineis-dinamicos-sobre-exploracao-e-producao-de-petroleo-e-gas/painel-de-pocos-na-fase-de-producao | https://ibram.org.br/</x:v>
      </x:c>
      <x:c r="AM227" s="43" t="str">
        <x:v>Não localizado em fonte pública confiável até 24/07/2026</x:v>
      </x:c>
      <x:c r="AN227" s="43" t="str">
        <x:v>Pesquise a empresa VW Retentores e Vedações, de Salvador/BA,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27" s="43" t="str">
        <x:v>2026-07-24 v1</x:v>
      </x:c>
    </x:row>
    <x:row r="228" ht="72" customHeight="1">
      <x:c r="A228" s="43" t="n">
        <x:v>227</x:v>
      </x:c>
      <x:c r="B228" s="43" t="str">
        <x:v>Nordeste Retentores - Vedações e Rolamentos</x:v>
      </x:c>
      <x:c r="C228" s="43" t="str">
        <x:v>Rolamentos/Vedações</x:v>
      </x:c>
      <x:c r="D228" s="43" t="str">
        <x:v>Simões Filho</x:v>
      </x:c>
      <x:c r="E228" s="43" t="str">
        <x:v>BA</x:v>
      </x:c>
      <x:c r="F228" s="43" t="str">
        <x:v>Nordeste</x:v>
      </x:c>
      <x:c r="G228" s="43" t="str">
        <x:v>B - Média</x:v>
      </x:c>
      <x:c r="H228" s="43" t="str">
        <x:v>Não contatado</x:v>
      </x:c>
      <x:c r="I228" s="43"/>
      <x:c r="J228" s="43" t="str">
        <x:v>Não localizado em fonte pública confiável até 24/07/2026</x:v>
      </x:c>
      <x:c r="K228" s="43" t="str">
        <x:v>Não</x:v>
      </x:c>
      <x:c r="L228" s="43" t="str">
        <x:v>distribuidor de rolamentos, retentores e vedações</x:v>
      </x:c>
      <x:c r="M228" s="43" t="str">
        <x:v>logística, petroquímica, metalmecânico e manutenção industrial</x:v>
      </x:c>
      <x:c r="N228" s="43" t="str">
        <x:v>retentores especiais, anéis, vedações rotativas, kits e componentes para manutenção de máquinas</x:v>
      </x:c>
      <x:c r="O228" s="43" t="str">
        <x:v>peças especiais em NBR, FKM, PU e PTFE, inclusive medidas fora de catálogo</x:v>
      </x:c>
      <x:c r="P228" s="43" t="str">
        <x:v>complementar a linha padronizada com reposições especiais e itens descontinuados</x:v>
      </x:c>
      <x:c r="Q228" s="43" t="str">
        <x:v>Segmento da base: Rolamentos/Vedações; localização: Simões Filho/BA; contexto industrial regional usado apenas como hipótese comercial. Sem e-mail público localizado. Nenhuma afirmação sobre clientes ou aplicações específicas da empresa foi feita sem fonte.</x:v>
      </x:c>
      <x:c r="R228" s="43" t="str">
        <x:v>Baixa</x:v>
      </x:c>
      <x:c r="S228" s="43" t="str">
        <x:v>Sim</x:v>
      </x:c>
      <x:c r="T228" s="43" t="str">
        <x:v>Reposições especiais e itens descontinuados</x:v>
      </x:c>
      <x:c r="U228" s="43" t="str">
        <x:v>Olá, equipe da Nordeste Retentores - Vedações e Rolamentos,</x:v>
      </x:c>
      <x:c r="V228" s="43" t="str">
        <x:v>Olá, equipe da Nordeste Retentores - Vedações e Rolamentos,
Gostaria de apresentar uma possibilidade de apoio complementar à Nordeste Retentores - Vedações e Rolamentos para peças especiais, urgências e reposições fora de catálogo.
Em Simões Filho/BA, cadeias como logística, petroquímica, metalmecânico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PTFE, FKM, PU e NBR.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228" s="43" t="str">
        <x:v>Olá, equipe da Nordeste Retentores - Vedações e Rolamentos,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228" s="43" t="str">
        <x:v>Olá, equipe da Nordeste Retentores - Vedações e Rolamentos,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28" s="43" t="str">
        <x:v>Vocês têm pedidos de retentores ou vedações em medidas especiais que não encontram nos catálogos tradicionais?</x:v>
      </x:c>
      <x:c r="Z228" s="43" t="str">
        <x:v>Este contato foi direcionado a um canal corporativo público por possível aderência entre as atividades das empresas. Para não receber novas mensagens da Parts Seals, responda com REMOVER.</x:v>
      </x:c>
      <x:c r="AA228" s="43" t="str">
        <x:v>Sem e-mail</x:v>
      </x:c>
      <x:c r="AB228" s="43" t="str">
        <x:v>Não</x:v>
      </x:c>
      <x:c r="AC228" s="44"/>
      <x:c r="AD228" s="44"/>
      <x:c r="AE228" s="44"/>
      <x:c r="AF228" s="44"/>
      <x:c r="AG228" s="43"/>
      <x:c r="AH228" s="43"/>
      <x:c r="AI228" s="43" t="str">
        <x:v>Não</x:v>
      </x:c>
      <x:c r="AJ228" s="43"/>
      <x:c r="AK228" s="43"/>
      <x:c r="AL228" s="43" t="str">
        <x:v>https://perfildaindustria.portaldaindustria.com.br/estado/tudo/ba | https://www.gov.br/anp/pt-br/centrais-de-conteudo/paineis-dinamicos-da-anp/paineis-dinamicos-sobre-exploracao-e-producao-de-petroleo-e-gas/painel-de-pocos-na-fase-de-producao | https://ibram.org.br/</x:v>
      </x:c>
      <x:c r="AM228" s="43" t="str">
        <x:v>Não localizado em fonte pública confiável até 24/07/2026</x:v>
      </x:c>
      <x:c r="AN228" s="43" t="str">
        <x:v>Pesquise a empresa Nordeste Retentores - Vedações e Rolamentos, de Simões Filho/BA,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28" s="43" t="str">
        <x:v>2026-07-24 v1</x:v>
      </x:c>
    </x:row>
    <x:row r="229" ht="72" customHeight="1">
      <x:c r="A229" s="43" t="n">
        <x:v>228</x:v>
      </x:c>
      <x:c r="B229" s="43" t="str">
        <x:v>CEMEC Soluções em Vedações Mecânicas</x:v>
      </x:c>
      <x:c r="C229" s="43" t="str">
        <x:v>Vedações</x:v>
      </x:c>
      <x:c r="D229" s="43" t="str">
        <x:v>Fortaleza</x:v>
      </x:c>
      <x:c r="E229" s="43" t="str">
        <x:v>CE</x:v>
      </x:c>
      <x:c r="F229" s="43" t="str">
        <x:v>Nordeste</x:v>
      </x:c>
      <x:c r="G229" s="43" t="str">
        <x:v>B - Média</x:v>
      </x:c>
      <x:c r="H229" s="43" t="str">
        <x:v>Não contatado</x:v>
      </x:c>
      <x:c r="I229" s="43"/>
      <x:c r="J229" s="43" t="str">
        <x:v>Não localizado em fonte pública confiável até 24/07/2026</x:v>
      </x:c>
      <x:c r="K229" s="43" t="str">
        <x:v>Não</x:v>
      </x:c>
      <x:c r="L229" s="43" t="str">
        <x:v>especialista ou revenda de vedações industriais</x:v>
      </x:c>
      <x:c r="M229" s="43" t="str">
        <x:v>alimentos, bebidas, energia, têxtil e manutenção industrial</x:v>
      </x:c>
      <x:c r="N229" s="43" t="str">
        <x:v>gaxetas, raspadores, anéis guia, vedações de haste e pistão, retentores especiais e reposições fora de linha</x:v>
      </x:c>
      <x:c r="O229" s="43" t="str">
        <x:v>peças sob medida em PTFE puro ou carregado, poliuretano, NBR, FKM, nylon e outros materiais técnicos</x:v>
      </x:c>
      <x:c r="P229" s="43" t="str">
        <x:v>complementar o portfólio com itens especiais, pequenas e médias séries, urgências e fabricação por desenho ou amostra</x:v>
      </x:c>
      <x:c r="Q229" s="43" t="str">
        <x:v>Segmento da base: Vedações; localização: Fortaleza/CE; contexto industrial regional usado apenas como hipótese comercial. Sem e-mail público localizado. Nenhuma afirmação sobre clientes ou aplicações específicas da empresa foi feita sem fonte.</x:v>
      </x:c>
      <x:c r="R229" s="43" t="str">
        <x:v>Baixa</x:v>
      </x:c>
      <x:c r="S229" s="43" t="str">
        <x:v>Sim</x:v>
      </x:c>
      <x:c r="T229" s="43" t="str">
        <x:v>Peças especiais para complementar o atendimento da CEMEC Soluções em Vedações Mecânicas</x:v>
      </x:c>
      <x:c r="U229" s="43" t="str">
        <x:v>Olá, equipe da CEMEC Soluções em Vedações Mecânicas,</x:v>
      </x:c>
      <x:c r="V229" s="43" t="str">
        <x:v>Olá, equipe da CEMEC Soluções em Vedações Mecânicas,
Estou entrando em contato porque a atuação da CEMEC Soluções em Vedações Mecânicas em vedações tem boa aderência ao tipo de fabricação especial que realizamos na Parts Seals.
Em Fortaleza/CE, cadeias como alimentos, bebidas, energia, têxtil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29" s="43" t="str">
        <x:v>Olá, equipe da CEMEC Soluções em Vedações Mecânicas,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29" s="43" t="str">
        <x:v>Olá, equipe da CEMEC Soluções em Vedações Mecânicas,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29" s="43" t="str">
        <x:v>Vocês recebem consultas de peças especiais que acabam sem atendimento por prazo, material, quantidade ou ausência de desenho?</x:v>
      </x:c>
      <x:c r="Z229" s="43" t="str">
        <x:v>Este contato foi direcionado a um canal corporativo público por possível aderência entre as atividades das empresas. Para não receber novas mensagens da Parts Seals, responda com REMOVER.</x:v>
      </x:c>
      <x:c r="AA229" s="43" t="str">
        <x:v>Sem e-mail</x:v>
      </x:c>
      <x:c r="AB229" s="43" t="str">
        <x:v>Não</x:v>
      </x:c>
      <x:c r="AC229" s="44"/>
      <x:c r="AD229" s="44"/>
      <x:c r="AE229" s="44"/>
      <x:c r="AF229" s="44"/>
      <x:c r="AG229" s="43"/>
      <x:c r="AH229" s="43"/>
      <x:c r="AI229" s="43" t="str">
        <x:v>Não</x:v>
      </x:c>
      <x:c r="AJ229" s="43"/>
      <x:c r="AK229" s="43"/>
      <x:c r="AL229" s="43" t="str">
        <x:v>https://perfildaindustria.portaldaindustria.com.br/estado/tudo/ce</x:v>
      </x:c>
      <x:c r="AM229" s="43" t="str">
        <x:v>Não localizado em fonte pública confiável até 24/07/2026</x:v>
      </x:c>
      <x:c r="AN229" s="43" t="str">
        <x:v>Pesquise a empresa CEMEC Soluções em Vedações Mecânicas, de Fortaleza/CE,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29" s="43" t="str">
        <x:v>2026-07-24 v1</x:v>
      </x:c>
    </x:row>
    <x:row r="230" ht="72" customHeight="1">
      <x:c r="A230" s="43" t="n">
        <x:v>229</x:v>
      </x:c>
      <x:c r="B230" s="43" t="str">
        <x:v>FH Vedações</x:v>
      </x:c>
      <x:c r="C230" s="43" t="str">
        <x:v>Fabricante/Vedações</x:v>
      </x:c>
      <x:c r="D230" s="43" t="str">
        <x:v>Fortaleza</x:v>
      </x:c>
      <x:c r="E230" s="43" t="str">
        <x:v>CE</x:v>
      </x:c>
      <x:c r="F230" s="43" t="str">
        <x:v>Nordeste</x:v>
      </x:c>
      <x:c r="G230" s="43" t="str">
        <x:v>C - Baixa</x:v>
      </x:c>
      <x:c r="H230" s="43" t="str">
        <x:v>Não contatado</x:v>
      </x:c>
      <x:c r="I230" s="43"/>
      <x:c r="J230" s="43" t="str">
        <x:v>Não localizado em fonte pública confiável até 24/07/2026</x:v>
      </x:c>
      <x:c r="K230" s="43" t="str">
        <x:v>Não</x:v>
      </x:c>
      <x:c r="L230" s="43" t="str">
        <x:v>fabricante ou transformador especializado em vedações</x:v>
      </x:c>
      <x:c r="M230" s="43" t="str">
        <x:v>alimentos, bebidas, energia, têxtil e manutenção industrial</x:v>
      </x:c>
      <x:c r="N230" s="43" t="str">
        <x:v>itens fora de padrão, picos de demanda, protótipos, reposições urgentes e lotes que exigem processo ou material específico</x:v>
      </x:c>
      <x:c r="O230" s="43" t="str">
        <x:v>componentes usinados e moldados em PTFE puro ou carregado, PU, NBR, FKM e materiais técnicos, conforme desenho ou amostra</x:v>
      </x:c>
      <x:c r="P230" s="43" t="str">
        <x:v>atuar como apoio produtivo complementar, preservando a relação comercial de vocês com o cliente final</x:v>
      </x:c>
      <x:c r="Q230" s="43" t="str">
        <x:v>Segmento da base: Fabricante/Vedações; localização: Fortaleza/CE; contexto industrial regional usado apenas como hipótese comercial. Sem e-mail público localizado. Nenhuma afirmação sobre clientes ou aplicações específicas da empresa foi feita sem fonte.</x:v>
      </x:c>
      <x:c r="R230" s="43" t="str">
        <x:v>Baixa</x:v>
      </x:c>
      <x:c r="S230" s="43" t="str">
        <x:v>Sim</x:v>
      </x:c>
      <x:c r="T230" s="43" t="str">
        <x:v>Parceria para picos de demanda e peças especiais</x:v>
      </x:c>
      <x:c r="U230" s="43" t="str">
        <x:v>Olá, equipe da FH Vedações,</x:v>
      </x:c>
      <x:c r="V230" s="43" t="str">
        <x:v>Olá, equipe da FH Vedações,
Ao analisar o perfil da FH Vedações em Fortaleza, identifiquei uma possibilidade de parceria para demandas de vedação que não se encaixam bem em linhas padronizadas.
Em Fortaleza/CE, cadeias como alimentos, bebidas, energia, têxtil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NBR, PU,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230" s="43" t="str">
        <x:v>Olá, equipe da FH Vedações,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230" s="43" t="str">
        <x:v>Olá, equipe da FH Vedações,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30" s="43" t="str">
        <x:v>Existe hoje algum item especial, urgente ou de baixa quantidade que esteja ocupando capacidade ou ficando sem atendimento?</x:v>
      </x:c>
      <x:c r="Z230" s="43" t="str">
        <x:v>Este contato foi direcionado a um canal corporativo público por possível aderência entre as atividades das empresas. Para não receber novas mensagens da Parts Seals, responda com REMOVER.</x:v>
      </x:c>
      <x:c r="AA230" s="43" t="str">
        <x:v>Sem e-mail</x:v>
      </x:c>
      <x:c r="AB230" s="43" t="str">
        <x:v>Não</x:v>
      </x:c>
      <x:c r="AC230" s="44"/>
      <x:c r="AD230" s="44"/>
      <x:c r="AE230" s="44"/>
      <x:c r="AF230" s="44"/>
      <x:c r="AG230" s="43"/>
      <x:c r="AH230" s="43"/>
      <x:c r="AI230" s="43" t="str">
        <x:v>Não</x:v>
      </x:c>
      <x:c r="AJ230" s="43"/>
      <x:c r="AK230" s="43"/>
      <x:c r="AL230" s="43" t="str">
        <x:v>https://perfildaindustria.portaldaindustria.com.br/estado/tudo/ce</x:v>
      </x:c>
      <x:c r="AM230" s="43" t="str">
        <x:v>Não localizado em fonte pública confiável até 24/07/2026</x:v>
      </x:c>
      <x:c r="AN230" s="43" t="str">
        <x:v>Pesquise a empresa FH Vedações, de Fortaleza/CE,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30" s="43" t="str">
        <x:v>2026-07-24 v1</x:v>
      </x:c>
    </x:row>
    <x:row r="231" ht="72" customHeight="1">
      <x:c r="A231" s="43" t="n">
        <x:v>230</x:v>
      </x:c>
      <x:c r="B231" s="43" t="str">
        <x:v>Só Vedações Fortaleza</x:v>
      </x:c>
      <x:c r="C231" s="43" t="str">
        <x:v>Fabricante/Vedações</x:v>
      </x:c>
      <x:c r="D231" s="43" t="str">
        <x:v>Fortaleza</x:v>
      </x:c>
      <x:c r="E231" s="43" t="str">
        <x:v>CE</x:v>
      </x:c>
      <x:c r="F231" s="43" t="str">
        <x:v>Nordeste</x:v>
      </x:c>
      <x:c r="G231" s="43" t="str">
        <x:v>A - Alta</x:v>
      </x:c>
      <x:c r="H231" s="43" t="str">
        <x:v>Não contatado</x:v>
      </x:c>
      <x:c r="I231" s="43" t="str">
        <x:v>vendas@sovedacoesfortaleza.com.br</x:v>
      </x:c>
      <x:c r="J231" s="43" t="str">
        <x:v>https://sovedacoes.com.br/contato/</x:v>
      </x:c>
      <x:c r="K231" s="43" t="str">
        <x:v>Sim</x:v>
      </x:c>
      <x:c r="L231" s="43" t="str">
        <x:v>fabricante ou transformador especializado em vedações</x:v>
      </x:c>
      <x:c r="M231" s="43" t="str">
        <x:v>alimentos, bebidas, energia, têxtil e manutenção industrial</x:v>
      </x:c>
      <x:c r="N231" s="43" t="str">
        <x:v>itens fora de padrão, picos de demanda, protótipos, reposições urgentes e lotes que exigem processo ou material específico</x:v>
      </x:c>
      <x:c r="O231" s="43" t="str">
        <x:v>componentes usinados e moldados em PTFE puro ou carregado, PU, NBR, FKM e materiais técnicos, conforme desenho ou amostra</x:v>
      </x:c>
      <x:c r="P231" s="43" t="str">
        <x:v>atuar como apoio produtivo complementar, preservando a relação comercial de vocês com o cliente final</x:v>
      </x:c>
      <x:c r="Q231" s="43" t="str">
        <x:v>Segmento da base: Fabricante/Vedações; localização: Fortaleza/CE; contexto industrial regional usado apenas como hipótese comercial. Fonte pública associada à empresa. Nenhuma afirmação sobre clientes ou aplicações específicas da empresa foi feita sem fonte.</x:v>
      </x:c>
      <x:c r="R231" s="43" t="str">
        <x:v>Moderada</x:v>
      </x:c>
      <x:c r="S231" s="43" t="str">
        <x:v>Sim</x:v>
      </x:c>
      <x:c r="T231" s="43" t="str">
        <x:v>Capacidade complementar em vedações — Só Vedações Fortaleza</x:v>
      </x:c>
      <x:c r="U231" s="43" t="str">
        <x:v>Olá, equipe da Só Vedações Fortaleza,</x:v>
      </x:c>
      <x:c r="V231" s="43" t="str">
        <x:v>Olá, equipe da Só Vedações Fortaleza,
A Parts Seals está ampliando parcerias com empresas técnicas do setor, e o perfil da Só Vedações Fortaleza chamou nossa atenção pela atuação em fabricante/vedações.
Em Fortaleza/CE, cadeias como alimentos, bebidas, energia, têxtil e manutenção industrial costumam gerar solicitações de vedações especiais, principalmente quando há pressão, desgaste, ataque químico, temperatura ou dificuldade de reposição. Para o perfil de fabricante ou transformador especializado em vedações, vemos maior aderência em itens fora de padrão, picos de demanda, protótipos, reposições urgentes e lotes que exigem processo ou material específico.
A Parts Seals pode apoiar com componentes usinados e moldados em PTFE puro ou carregado, PU, NBR, FKM e materiais técnicos, conforme desenho ou amostra. A seleção final do material é validada conforme a aplicação; para as demandas mais comuns da região, vale avaliar especialmente NBR, PU, PTFE e FKM. Nosso objetivo é atuar como apoio produtivo complementar, preservando a relação comercial de vocês com o cliente final.
Existe hoje algum item especial, urgente ou de baixa quantidade que esteja ocupando capacidade ou ficando sem atendimento?
Posso encaminhar uma apresentação curta ou avaliar um item real, sem compromisso?
Atenciosamente,
{{NOME_REMETENTE}}
Parts Seals Vedações Industriais
{{TELEFONE_REMETENTE}} | {{SITE_REMETENTE}}</x:v>
      </x:c>
      <x:c r="W231" s="43" t="str">
        <x:v>Olá, equipe da Só Vedações Fortaleza,
Retomando meu contato: pelo perfil de fabricante/vedações de vocês, acredito que podemos apoiar principalmente em itens fora de padrão, picos de demanda, protótipos, reposições urgentes e lotes que exigem processo ou material específico.
Se tiverem uma medida, desenho ou foto de um item difícil de localizar, podemos fazer uma análise inicial e indicar o material mais adequado. Há algum caso em aberto que possamos avaliar?
Atenciosamente,
{{NOME_REMETENTE}}
Parts Seals Vedações Industriais</x:v>
      </x:c>
      <x:c r="X231" s="43" t="str">
        <x:v>Olá, equipe da Só Vedações Fortaleza,
Encerrando meu contato para não insistir. Caso surja alguma demanda de itens fora de padrão, picos de demanda, protótipos, reposições urgentes e lotes que exigem processo ou material específico,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31" s="43" t="str">
        <x:v>Existe hoje algum item especial, urgente ou de baixa quantidade que esteja ocupando capacidade ou ficando sem atendimento?</x:v>
      </x:c>
      <x:c r="Z231" s="43" t="str">
        <x:v>Este contato foi direcionado a um canal corporativo público por possível aderência entre as atividades das empresas. Para não receber novas mensagens da Parts Seals, responda com REMOVER.</x:v>
      </x:c>
      <x:c r="AA231" s="43" t="str">
        <x:v>Aguardando aprovação</x:v>
      </x:c>
      <x:c r="AB231" s="43" t="str">
        <x:v>Não</x:v>
      </x:c>
      <x:c r="AC231" s="44"/>
      <x:c r="AD231" s="44"/>
      <x:c r="AE231" s="44"/>
      <x:c r="AF231" s="44"/>
      <x:c r="AG231" s="43"/>
      <x:c r="AH231" s="43"/>
      <x:c r="AI231" s="43" t="str">
        <x:v>Não</x:v>
      </x:c>
      <x:c r="AJ231" s="43"/>
      <x:c r="AK231" s="43"/>
      <x:c r="AL231" s="43" t="str">
        <x:v>https://perfildaindustria.portaldaindustria.com.br/estado/tudo/ce</x:v>
      </x:c>
      <x:c r="AM231" s="43" t="str">
        <x:v>https://sovedacoes.com.br/contato/</x:v>
      </x:c>
      <x:c r="AN231" s="43" t="str">
        <x:v>Pesquise a empresa Só Vedações Fortaleza, de Fortaleza/CE,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31" s="43" t="str">
        <x:v>2026-07-24 v1</x:v>
      </x:c>
    </x:row>
    <x:row r="232" ht="72" customHeight="1">
      <x:c r="A232" s="43" t="n">
        <x:v>231</x:v>
      </x:c>
      <x:c r="B232" s="43" t="str">
        <x:v>TH Vedações</x:v>
      </x:c>
      <x:c r="C232" s="43" t="str">
        <x:v>Vedações</x:v>
      </x:c>
      <x:c r="D232" s="43" t="str">
        <x:v>Fortaleza</x:v>
      </x:c>
      <x:c r="E232" s="43" t="str">
        <x:v>CE</x:v>
      </x:c>
      <x:c r="F232" s="43" t="str">
        <x:v>Nordeste</x:v>
      </x:c>
      <x:c r="G232" s="43" t="str">
        <x:v>A - Alta</x:v>
      </x:c>
      <x:c r="H232" s="43" t="str">
        <x:v>Não contatado</x:v>
      </x:c>
      <x:c r="I232" s="43"/>
      <x:c r="J232" s="43" t="str">
        <x:v>Não localizado em fonte pública confiável até 24/07/2026</x:v>
      </x:c>
      <x:c r="K232" s="43" t="str">
        <x:v>Não</x:v>
      </x:c>
      <x:c r="L232" s="43" t="str">
        <x:v>especialista ou revenda de vedações industriais</x:v>
      </x:c>
      <x:c r="M232" s="43" t="str">
        <x:v>alimentos, bebidas, energia, têxtil e manutenção industrial</x:v>
      </x:c>
      <x:c r="N232" s="43" t="str">
        <x:v>gaxetas, raspadores, anéis guia, vedações de haste e pistão, retentores especiais e reposições fora de linha</x:v>
      </x:c>
      <x:c r="O232" s="43" t="str">
        <x:v>peças sob medida em PTFE puro ou carregado, poliuretano, NBR, FKM, nylon e outros materiais técnicos</x:v>
      </x:c>
      <x:c r="P232" s="43" t="str">
        <x:v>complementar o portfólio com itens especiais, pequenas e médias séries, urgências e fabricação por desenho ou amostra</x:v>
      </x:c>
      <x:c r="Q232" s="43" t="str">
        <x:v>Segmento da base: Vedações; localização: Fortaleza/CE; contexto industrial regional usado apenas como hipótese comercial. Sem e-mail público localizado. Nenhuma afirmação sobre clientes ou aplicações específicas da empresa foi feita sem fonte.</x:v>
      </x:c>
      <x:c r="R232" s="43" t="str">
        <x:v>Baixa</x:v>
      </x:c>
      <x:c r="S232" s="43" t="str">
        <x:v>Sim</x:v>
      </x:c>
      <x:c r="T232" s="43" t="str">
        <x:v>Demandas fora de catálogo na TH Vedações</x:v>
      </x:c>
      <x:c r="U232" s="43" t="str">
        <x:v>Olá, equipe da TH Vedações,</x:v>
      </x:c>
      <x:c r="V232" s="43" t="str">
        <x:v>Olá, equipe da TH Vedações,
Gostaria de apresentar uma possibilidade de apoio complementar à TH Vedações para peças especiais, urgências e reposições fora de catálogo.
Em Fortaleza/CE, cadeias como alimentos, bebidas, energia, têxtil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32" s="43" t="str">
        <x:v>Olá, equipe da TH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32" s="43" t="str">
        <x:v>Olá, equipe da TH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32" s="43" t="str">
        <x:v>Vocês recebem consultas de peças especiais que acabam sem atendimento por prazo, material, quantidade ou ausência de desenho?</x:v>
      </x:c>
      <x:c r="Z232" s="43" t="str">
        <x:v>Este contato foi direcionado a um canal corporativo público por possível aderência entre as atividades das empresas. Para não receber novas mensagens da Parts Seals, responda com REMOVER.</x:v>
      </x:c>
      <x:c r="AA232" s="43" t="str">
        <x:v>Sem e-mail</x:v>
      </x:c>
      <x:c r="AB232" s="43" t="str">
        <x:v>Não</x:v>
      </x:c>
      <x:c r="AC232" s="44"/>
      <x:c r="AD232" s="44"/>
      <x:c r="AE232" s="44"/>
      <x:c r="AF232" s="44"/>
      <x:c r="AG232" s="43"/>
      <x:c r="AH232" s="43"/>
      <x:c r="AI232" s="43" t="str">
        <x:v>Não</x:v>
      </x:c>
      <x:c r="AJ232" s="43"/>
      <x:c r="AK232" s="43"/>
      <x:c r="AL232" s="43" t="str">
        <x:v>https://perfildaindustria.portaldaindustria.com.br/estado/tudo/ce</x:v>
      </x:c>
      <x:c r="AM232" s="43" t="str">
        <x:v>Não localizado em fonte pública confiável até 24/07/2026</x:v>
      </x:c>
      <x:c r="AN232" s="43" t="str">
        <x:v>Pesquise a empresa TH Vedações, de Fortaleza/CE,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32" s="43" t="str">
        <x:v>2026-07-24 v1</x:v>
      </x:c>
    </x:row>
    <x:row r="233" ht="72" customHeight="1">
      <x:c r="A233" s="43" t="n">
        <x:v>232</x:v>
      </x:c>
      <x:c r="B233" s="43" t="str">
        <x:v>GF Componentes</x:v>
      </x:c>
      <x:c r="C233" s="43" t="str">
        <x:v>Rolamentos/Vedações</x:v>
      </x:c>
      <x:c r="D233" s="43" t="str">
        <x:v>João Pessoa</x:v>
      </x:c>
      <x:c r="E233" s="43" t="str">
        <x:v>PB</x:v>
      </x:c>
      <x:c r="F233" s="43" t="str">
        <x:v>Nordeste</x:v>
      </x:c>
      <x:c r="G233" s="43" t="str">
        <x:v>B - Média</x:v>
      </x:c>
      <x:c r="H233" s="43" t="str">
        <x:v>Não contatado</x:v>
      </x:c>
      <x:c r="I233" s="43"/>
      <x:c r="J233" s="43" t="str">
        <x:v>Não localizado em fonte pública confiável até 24/07/2026</x:v>
      </x:c>
      <x:c r="K233" s="43" t="str">
        <x:v>Não</x:v>
      </x:c>
      <x:c r="L233" s="43" t="str">
        <x:v>distribuidor de rolamentos, retentores e vedações</x:v>
      </x:c>
      <x:c r="M233" s="43" t="str">
        <x:v>alimentos, bebidas, têxtil e manutenção industrial</x:v>
      </x:c>
      <x:c r="N233" s="43" t="str">
        <x:v>retentores especiais, anéis, vedações rotativas, kits e componentes para manutenção de máquinas</x:v>
      </x:c>
      <x:c r="O233" s="43" t="str">
        <x:v>peças especiais em NBR, FKM, PU e PTFE, inclusive medidas fora de catálogo</x:v>
      </x:c>
      <x:c r="P233" s="43" t="str">
        <x:v>complementar a linha padronizada com reposições especiais e itens descontinuados</x:v>
      </x:c>
      <x:c r="Q233" s="43" t="str">
        <x:v>Segmento da base: Rolamentos/Vedações; localização: João Pessoa/PB; contexto industrial regional usado apenas como hipótese comercial. Sem e-mail público localizado. Nenhuma afirmação sobre clientes ou aplicações específicas da empresa foi feita sem fonte.</x:v>
      </x:c>
      <x:c r="R233" s="43" t="str">
        <x:v>Baixa</x:v>
      </x:c>
      <x:c r="S233" s="43" t="str">
        <x:v>Sim</x:v>
      </x:c>
      <x:c r="T233" s="43" t="str">
        <x:v>Retentores e vedações especiais para a GF Componentes</x:v>
      </x:c>
      <x:c r="U233" s="43" t="str">
        <x:v>Olá, equipe da GF Componentes,</x:v>
      </x:c>
      <x:c r="V233" s="43" t="str">
        <x:v>Olá, equipe da GF Componentes,
Estou entrando em contato porque a atuação da GF Componentes em rolamentos/vedações tem boa aderência ao tipo de fabricação especial que realizamos na Parts Seals.
Em João Pessoa/PB, cadeias como alimentos, bebidas, têxtil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NBR, PU, PTFE e FKM.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233" s="43" t="str">
        <x:v>Olá, equipe da GF Componentes,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233" s="43" t="str">
        <x:v>Olá, equipe da GF Componentes,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33" s="43" t="str">
        <x:v>Vocês têm pedidos de retentores ou vedações em medidas especiais que não encontram nos catálogos tradicionais?</x:v>
      </x:c>
      <x:c r="Z233" s="43" t="str">
        <x:v>Este contato foi direcionado a um canal corporativo público por possível aderência entre as atividades das empresas. Para não receber novas mensagens da Parts Seals, responda com REMOVER.</x:v>
      </x:c>
      <x:c r="AA233" s="43" t="str">
        <x:v>Sem e-mail</x:v>
      </x:c>
      <x:c r="AB233" s="43" t="str">
        <x:v>Não</x:v>
      </x:c>
      <x:c r="AC233" s="44"/>
      <x:c r="AD233" s="44"/>
      <x:c r="AE233" s="44"/>
      <x:c r="AF233" s="44"/>
      <x:c r="AG233" s="43"/>
      <x:c r="AH233" s="43"/>
      <x:c r="AI233" s="43" t="str">
        <x:v>Não</x:v>
      </x:c>
      <x:c r="AJ233" s="43"/>
      <x:c r="AK233" s="43"/>
      <x:c r="AL233" s="43" t="str">
        <x:v>https://perfildaindustria.portaldaindustria.com.br/estado/tudo/pb</x:v>
      </x:c>
      <x:c r="AM233" s="43" t="str">
        <x:v>Não localizado em fonte pública confiável até 24/07/2026</x:v>
      </x:c>
      <x:c r="AN233" s="43" t="str">
        <x:v>Pesquise a empresa GF Componentes, de João Pessoa/PB,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33" s="43" t="str">
        <x:v>2026-07-24 v1</x:v>
      </x:c>
    </x:row>
    <x:row r="234" ht="72" customHeight="1">
      <x:c r="A234" s="43" t="n">
        <x:v>233</x:v>
      </x:c>
      <x:c r="B234" s="43" t="str">
        <x:v>HCR Comércio de Produtos Industriais</x:v>
      </x:c>
      <x:c r="C234" s="43" t="str">
        <x:v>Industrial/Vedações</x:v>
      </x:c>
      <x:c r="D234" s="43" t="str">
        <x:v>João Pessoa</x:v>
      </x:c>
      <x:c r="E234" s="43" t="str">
        <x:v>PB</x:v>
      </x:c>
      <x:c r="F234" s="43" t="str">
        <x:v>Nordeste</x:v>
      </x:c>
      <x:c r="G234" s="43" t="str">
        <x:v>B - Média</x:v>
      </x:c>
      <x:c r="H234" s="43" t="str">
        <x:v>Não contatado</x:v>
      </x:c>
      <x:c r="I234" s="43" t="str">
        <x:v>vendas@hcrjp.com.br</x:v>
      </x:c>
      <x:c r="J234" s="43" t="str">
        <x:v>https://www.facebook.com/HCRJP/</x:v>
      </x:c>
      <x:c r="K234" s="43" t="str">
        <x:v>Sim</x:v>
      </x:c>
      <x:c r="L234" s="43" t="str">
        <x:v>fornecedor industrial com foco em vedações</x:v>
      </x:c>
      <x:c r="M234" s="43" t="str">
        <x:v>alimentos, bebidas, têxtil e manutenção industrial</x:v>
      </x:c>
      <x:c r="N234" s="43" t="str">
        <x:v>manutenção, reposições especiais, equipamentos hidráulicos e componentes sujeitos a desgaste ou ataque químico</x:v>
      </x:c>
      <x:c r="O234" s="43" t="str">
        <x:v>peças em PTFE, PU, NBR e FKM sob medida</x:v>
      </x:c>
      <x:c r="P234" s="43" t="str">
        <x:v>atender itens fora de catálogo, urgências e pequenas séries com suporte na definição do material</x:v>
      </x:c>
      <x:c r="Q234" s="43" t="str">
        <x:v>Segmento da base: Industrial/Vedações; localização: João Pessoa/PB; contexto industrial regional usado apenas como hipótese comercial. Contato publicado em perfil ou diretório institucional. Nenhuma afirmação sobre clientes ou aplicações específicas da empresa foi feita sem fonte.</x:v>
      </x:c>
      <x:c r="R234" s="43" t="str">
        <x:v>Moderada</x:v>
      </x:c>
      <x:c r="S234" s="43" t="str">
        <x:v>Sim</x:v>
      </x:c>
      <x:c r="T234" s="43" t="str">
        <x:v>Possível parceria técnica — HCR Comércio de Produtos Industriais e Parts Seals</x:v>
      </x:c>
      <x:c r="U234" s="43" t="str">
        <x:v>Olá, equipe da HCR Comércio de Produtos Industriais,</x:v>
      </x:c>
      <x:c r="V234" s="43" t="str">
        <x:v>Olá, equipe da HCR Comércio de Produtos Industriais,
Ao analisar o perfil da HCR Comércio de Produtos Industriais em João Pessoa, identifiquei uma possibilidade de parceria para demandas de vedação que não se encaixam bem em linhas padronizadas.
Em João Pessoa/PB, cadeias como alimentos, bebidas, têxtil e manutenção industrial costumam gerar solicitações de vedações especiais, principalmente quando há pressão, desgaste, ataque químico, temperatura ou dificuldade de reposição. Para o perfil de fornecedor industrial com foco em vedações, vemos maior aderência em manutenção, reposições especiais, equipamentos hidráulicos e componentes sujeitos a desgaste ou ataque químico.
A Parts Seals pode apoiar com peças em PTFE, PU, NBR e FKM sob medida. A seleção final do material é validada conforme a aplicação; para as demandas mais comuns da região, vale avaliar especialmente NBR, PU, PTFE e FKM. Nosso objetivo é atender itens fora de catálogo, urgências e pequenas séries com suporte na definição do material.
Qual tipo de vedação especial mais gera atraso ou perda de venda para a equipe de vocês?
Posso encaminhar uma apresentação curta ou avaliar um item real, sem compromisso?
Atenciosamente,
{{NOME_REMETENTE}}
Parts Seals Vedações Industriais
{{TELEFONE_REMETENTE}} | {{SITE_REMETENTE}}</x:v>
      </x:c>
      <x:c r="W234" s="43" t="str">
        <x:v>Olá, equipe da HCR Comércio de Produtos Industriais,
Retomando meu contato: pelo perfil de industrial/vedações de vocês, acredito que podemos apoiar principalmente em manutenção, reposições especiais, equipamentos hidráulicos e componentes sujeitos a desgaste ou ataque químico.
Se tiverem uma medida, desenho ou foto de um item difícil de localizar, podemos fazer uma análise inicial e indicar o material mais adequado. Há algum caso em aberto que possamos avaliar?
Atenciosamente,
{{NOME_REMETENTE}}
Parts Seals Vedações Industriais</x:v>
      </x:c>
      <x:c r="X234" s="43" t="str">
        <x:v>Olá, equipe da HCR Comércio de Produtos Industriais,
Encerrando meu contato para não insistir. Caso surja alguma demanda de manutenção, reposições especiais, equipamentos hidráulicos e componentes sujeitos a desgaste ou ataque químico,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34" s="43" t="str">
        <x:v>Qual tipo de vedação especial mais gera atraso ou perda de venda para a equipe de vocês?</x:v>
      </x:c>
      <x:c r="Z234" s="43" t="str">
        <x:v>Este contato foi direcionado a um canal corporativo público por possível aderência entre as atividades das empresas. Para não receber novas mensagens da Parts Seals, responda com REMOVER.</x:v>
      </x:c>
      <x:c r="AA234" s="43" t="str">
        <x:v>Aguardando aprovação</x:v>
      </x:c>
      <x:c r="AB234" s="43" t="str">
        <x:v>Não</x:v>
      </x:c>
      <x:c r="AC234" s="44"/>
      <x:c r="AD234" s="44"/>
      <x:c r="AE234" s="44"/>
      <x:c r="AF234" s="44"/>
      <x:c r="AG234" s="43"/>
      <x:c r="AH234" s="43"/>
      <x:c r="AI234" s="43" t="str">
        <x:v>Não</x:v>
      </x:c>
      <x:c r="AJ234" s="43"/>
      <x:c r="AK234" s="43"/>
      <x:c r="AL234" s="43" t="str">
        <x:v>https://perfildaindustria.portaldaindustria.com.br/estado/tudo/pb</x:v>
      </x:c>
      <x:c r="AM234" s="43" t="str">
        <x:v>https://www.facebook.com/HCRJP/</x:v>
      </x:c>
      <x:c r="AN234" s="43" t="str">
        <x:v>Pesquise a empresa HCR Comércio de Produtos Industriais, de João Pessoa/PB,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34" s="43" t="str">
        <x:v>2026-07-24 v1</x:v>
      </x:c>
    </x:row>
    <x:row r="235" ht="72" customHeight="1">
      <x:c r="A235" s="43" t="n">
        <x:v>234</x:v>
      </x:c>
      <x:c r="B235" s="43" t="str">
        <x:v>Vedações Industriais Jaboatão</x:v>
      </x:c>
      <x:c r="C235" s="43" t="str">
        <x:v>Vedações</x:v>
      </x:c>
      <x:c r="D235" s="43" t="str">
        <x:v>Jaboatão dos Guararapes</x:v>
      </x:c>
      <x:c r="E235" s="43" t="str">
        <x:v>PE</x:v>
      </x:c>
      <x:c r="F235" s="43" t="str">
        <x:v>Nordeste</x:v>
      </x:c>
      <x:c r="G235" s="43" t="str">
        <x:v>B - Média</x:v>
      </x:c>
      <x:c r="H235" s="43" t="str">
        <x:v>Não contatado</x:v>
      </x:c>
      <x:c r="I235" s="43"/>
      <x:c r="J235" s="43" t="str">
        <x:v>Não localizado em fonte pública confiável até 24/07/2026</x:v>
      </x:c>
      <x:c r="K235" s="43" t="str">
        <x:v>Não</x:v>
      </x:c>
      <x:c r="L235" s="43" t="str">
        <x:v>especialista ou revenda de vedações industriais</x:v>
      </x:c>
      <x:c r="M235" s="43" t="str">
        <x:v>logística, alimentos, portos e manutenção industrial</x:v>
      </x:c>
      <x:c r="N235" s="43" t="str">
        <x:v>gaxetas, raspadores, anéis guia, vedações de haste e pistão, retentores especiais e reposições fora de linha</x:v>
      </x:c>
      <x:c r="O235" s="43" t="str">
        <x:v>peças sob medida em PTFE puro ou carregado, poliuretano, NBR, FKM, nylon e outros materiais técnicos</x:v>
      </x:c>
      <x:c r="P235" s="43" t="str">
        <x:v>complementar o portfólio com itens especiais, pequenas e médias séries, urgências e fabricação por desenho ou amostra</x:v>
      </x:c>
      <x:c r="Q235" s="43" t="str">
        <x:v>Segmento da base: Vedações; localização: Jaboatão dos Guararapes/PE; contexto industrial regional usado apenas como hipótese comercial. Sem e-mail público localizado. Nenhuma afirmação sobre clientes ou aplicações específicas da empresa foi feita sem fonte.</x:v>
      </x:c>
      <x:c r="R235" s="43" t="str">
        <x:v>Baixa</x:v>
      </x:c>
      <x:c r="S235" s="43" t="str">
        <x:v>Sim</x:v>
      </x:c>
      <x:c r="T235" s="43" t="str">
        <x:v>Apoio em vedações sob medida para a Vedações Industriais Jaboatão</x:v>
      </x:c>
      <x:c r="U235" s="43" t="str">
        <x:v>Olá, equipe da Vedações Industriais Jaboatão,</x:v>
      </x:c>
      <x:c r="V235" s="43" t="str">
        <x:v>Olá, equipe da Vedações Industriais Jaboatão,
A Parts Seals está ampliando parcerias com empresas técnicas do setor, e o perfil da Vedações Industriais Jaboatão chamou nossa atenção pela atuação em vedações.
Em Jaboatão dos Guararapes/PE, cadeias como logística, alimentos, portos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35" s="43" t="str">
        <x:v>Olá, equipe da Vedações Industriais Jaboatão,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35" s="43" t="str">
        <x:v>Olá, equipe da Vedações Industriais Jaboatão,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35" s="43" t="str">
        <x:v>Vocês recebem consultas de peças especiais que acabam sem atendimento por prazo, material, quantidade ou ausência de desenho?</x:v>
      </x:c>
      <x:c r="Z235" s="43" t="str">
        <x:v>Este contato foi direcionado a um canal corporativo público por possível aderência entre as atividades das empresas. Para não receber novas mensagens da Parts Seals, responda com REMOVER.</x:v>
      </x:c>
      <x:c r="AA235" s="43" t="str">
        <x:v>Sem e-mail</x:v>
      </x:c>
      <x:c r="AB235" s="43" t="str">
        <x:v>Não</x:v>
      </x:c>
      <x:c r="AC235" s="44"/>
      <x:c r="AD235" s="44"/>
      <x:c r="AE235" s="44"/>
      <x:c r="AF235" s="44"/>
      <x:c r="AG235" s="43"/>
      <x:c r="AH235" s="43"/>
      <x:c r="AI235" s="43" t="str">
        <x:v>Não</x:v>
      </x:c>
      <x:c r="AJ235" s="43"/>
      <x:c r="AK235" s="43"/>
      <x:c r="AL235" s="43" t="str">
        <x:v>https://perfildaindustria.portaldaindustria.com.br/estado/tudo/pe</x:v>
      </x:c>
      <x:c r="AM235" s="43" t="str">
        <x:v>Não localizado em fonte pública confiável até 24/07/2026</x:v>
      </x:c>
      <x:c r="AN235" s="43" t="str">
        <x:v>Pesquise a empresa Vedações Industriais Jaboatão, de Jaboatão dos Guararapes/PE,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35" s="43" t="str">
        <x:v>2026-07-24 v1</x:v>
      </x:c>
    </x:row>
    <x:row r="236" ht="72" customHeight="1">
      <x:c r="A236" s="43" t="n">
        <x:v>235</x:v>
      </x:c>
      <x:c r="B236" s="43" t="str">
        <x:v>Norved Distribuidora de Peças e Vedações</x:v>
      </x:c>
      <x:c r="C236" s="43" t="str">
        <x:v>Distribuidora</x:v>
      </x:c>
      <x:c r="D236" s="43" t="str">
        <x:v>Recife</x:v>
      </x:c>
      <x:c r="E236" s="43" t="str">
        <x:v>PE</x:v>
      </x:c>
      <x:c r="F236" s="43" t="str">
        <x:v>Nordeste</x:v>
      </x:c>
      <x:c r="G236" s="43" t="str">
        <x:v>B - Média</x:v>
      </x:c>
      <x:c r="H236" s="43" t="str">
        <x:v>Não contatado</x:v>
      </x:c>
      <x:c r="I236" s="43"/>
      <x:c r="J236" s="43" t="str">
        <x:v>Não localizado em fonte pública confiável até 24/07/2026</x:v>
      </x:c>
      <x:c r="K236" s="43" t="str">
        <x:v>Não</x:v>
      </x:c>
      <x:c r="L236" s="43" t="str">
        <x:v>distribuidor de componentes industriais</x:v>
      </x:c>
      <x:c r="M236" s="43" t="str">
        <x:v>alimentos, químico, metalmecânico, energia e manutenção industrial</x:v>
      </x:c>
      <x:c r="N236" s="43" t="str">
        <x:v>reposições industriais, itens fora de linha, medidas especiais e demandas de manutenção</x:v>
      </x:c>
      <x:c r="O236" s="43" t="str">
        <x:v>vedações e componentes sob medida em PTFE, PU, NBR, FKM e materiais técnicos</x:v>
      </x:c>
      <x:c r="P236" s="43" t="str">
        <x:v>complementar o portfólio sem necessidade de estoque amplo, produzindo por desenho ou amostra</x:v>
      </x:c>
      <x:c r="Q236" s="43" t="str">
        <x:v>Segmento da base: Distribuidora; localização: Recife/PE; contexto industrial regional usado apenas como hipótese comercial. Sem e-mail público localizado. Nenhuma afirmação sobre clientes ou aplicações específicas da empresa foi feita sem fonte.</x:v>
      </x:c>
      <x:c r="R236" s="43" t="str">
        <x:v>Baixa</x:v>
      </x:c>
      <x:c r="S236" s="43" t="str">
        <x:v>Sim</x:v>
      </x:c>
      <x:c r="T236" s="43" t="str">
        <x:v>Demandas fora de catálogo na Norved Distribuidora de Peças e Vedações</x:v>
      </x:c>
      <x:c r="U236" s="43" t="str">
        <x:v>Olá, equipe da Norved Distribuidora de Peças e Vedações,</x:v>
      </x:c>
      <x:c r="V236" s="43" t="str">
        <x:v>Olá, equipe da Norved Distribuidora de Peças e Vedações,
Gostaria de apresentar uma possibilidade de apoio complementar à Norved Distribuidora de Peças e Vedações para peças especiais, urgências e reposições fora de catálogo.
Em Recife/PE, cadeias como alimentos, químico, metalmecânico, energia e manutenção industrial costumam gerar solicitações de vedações especiais, principalmente quando há pressão, desgaste, ataque químico, temperatura ou dificuldade de reposição. Para o perfil de distribuidor de componentes industriais, vemos maior aderência em reposições industriais, itens fora de linha, medidas especiais e demandas de manutenção.
A Parts Seals pode apoiar com vedações e componentes sob medida em PTFE, PU, NBR, FKM e materiais técnicos. A seleção final do material é validada conforme a aplicação; para as demandas mais comuns da região, vale avaliar especialmente NBR, PU, PTFE e FKM. Nosso objetivo é complementar o portfólio sem necessidade de estoque amplo, produzindo por desenho ou amostra.
Há famílias de vedações que seus clientes solicitam, mas que hoje ficam fora do portfólio por baixa recorrência?
Posso encaminhar uma apresentação curta ou avaliar um item real, sem compromisso?
Atenciosamente,
{{NOME_REMETENTE}}
Parts Seals Vedações Industriais
{{TELEFONE_REMETENTE}} | {{SITE_REMETENTE}}</x:v>
      </x:c>
      <x:c r="W236" s="43" t="str">
        <x:v>Olá, equipe da Norved Distribuidora de Peças e Vedações,
Retomando meu contato: pelo perfil de distribuidora de vocês, acredito que podemos apoiar principalmente em reposições industriais, itens fora de linha, medidas especiais e demandas de manutenção.
Se tiverem uma medida, desenho ou foto de um item difícil de localizar, podemos fazer uma análise inicial e indicar o material mais adequado. Há algum caso em aberto que possamos avaliar?
Atenciosamente,
{{NOME_REMETENTE}}
Parts Seals Vedações Industriais</x:v>
      </x:c>
      <x:c r="X236" s="43" t="str">
        <x:v>Olá, equipe da Norved Distribuidora de Peças e Vedações,
Encerrando meu contato para não insistir. Caso surja alguma demanda de reposições industriais, itens fora de linha, medidas especiais e demandas de manutenção,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36" s="43" t="str">
        <x:v>Há famílias de vedações que seus clientes solicitam, mas que hoje ficam fora do portfólio por baixa recorrência?</x:v>
      </x:c>
      <x:c r="Z236" s="43" t="str">
        <x:v>Este contato foi direcionado a um canal corporativo público por possível aderência entre as atividades das empresas. Para não receber novas mensagens da Parts Seals, responda com REMOVER.</x:v>
      </x:c>
      <x:c r="AA236" s="43" t="str">
        <x:v>Sem e-mail</x:v>
      </x:c>
      <x:c r="AB236" s="43" t="str">
        <x:v>Não</x:v>
      </x:c>
      <x:c r="AC236" s="44"/>
      <x:c r="AD236" s="44"/>
      <x:c r="AE236" s="44"/>
      <x:c r="AF236" s="44"/>
      <x:c r="AG236" s="43"/>
      <x:c r="AH236" s="43"/>
      <x:c r="AI236" s="43" t="str">
        <x:v>Não</x:v>
      </x:c>
      <x:c r="AJ236" s="43"/>
      <x:c r="AK236" s="43"/>
      <x:c r="AL236" s="43" t="str">
        <x:v>https://perfildaindustria.portaldaindustria.com.br/estado/tudo/pe</x:v>
      </x:c>
      <x:c r="AM236" s="43" t="str">
        <x:v>Não localizado em fonte pública confiável até 24/07/2026</x:v>
      </x:c>
      <x:c r="AN236" s="43" t="str">
        <x:v>Pesquise a empresa Norved Distribuidora de Peças e Vedações, de Recife/PE,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36" s="43" t="str">
        <x:v>2026-07-24 v1</x:v>
      </x:c>
    </x:row>
    <x:row r="237" ht="72" customHeight="1">
      <x:c r="A237" s="43" t="n">
        <x:v>236</x:v>
      </x:c>
      <x:c r="B237" s="43" t="str">
        <x:v>RubberTech Vedações Industriais</x:v>
      </x:c>
      <x:c r="C237" s="43" t="str">
        <x:v>Vedações</x:v>
      </x:c>
      <x:c r="D237" s="43" t="str">
        <x:v>Recife</x:v>
      </x:c>
      <x:c r="E237" s="43" t="str">
        <x:v>PE</x:v>
      </x:c>
      <x:c r="F237" s="43" t="str">
        <x:v>Nordeste</x:v>
      </x:c>
      <x:c r="G237" s="43" t="str">
        <x:v>A - Alta</x:v>
      </x:c>
      <x:c r="H237" s="43" t="str">
        <x:v>Não contatado</x:v>
      </x:c>
      <x:c r="I237" s="43"/>
      <x:c r="J237" s="43" t="str">
        <x:v>Não localizado em fonte pública confiável até 24/07/2026</x:v>
      </x:c>
      <x:c r="K237" s="43" t="str">
        <x:v>Não</x:v>
      </x:c>
      <x:c r="L237" s="43" t="str">
        <x:v>especialista ou revenda de vedações industriais</x:v>
      </x:c>
      <x:c r="M237" s="43" t="str">
        <x:v>alimentos, químico, metalmecânico, energia e manutenção industrial</x:v>
      </x:c>
      <x:c r="N237" s="43" t="str">
        <x:v>gaxetas, raspadores, anéis guia, vedações de haste e pistão, retentores especiais e reposições fora de linha</x:v>
      </x:c>
      <x:c r="O237" s="43" t="str">
        <x:v>peças sob medida em PTFE puro ou carregado, poliuretano, NBR, FKM, nylon e outros materiais técnicos</x:v>
      </x:c>
      <x:c r="P237" s="43" t="str">
        <x:v>complementar o portfólio com itens especiais, pequenas e médias séries, urgências e fabricação por desenho ou amostra</x:v>
      </x:c>
      <x:c r="Q237" s="43" t="str">
        <x:v>Segmento da base: Vedações; localização: Recife/PE; contexto industrial regional usado apenas como hipótese comercial. Sem e-mail público localizado. Nenhuma afirmação sobre clientes ou aplicações específicas da empresa foi feita sem fonte.</x:v>
      </x:c>
      <x:c r="R237" s="43" t="str">
        <x:v>Baixa</x:v>
      </x:c>
      <x:c r="S237" s="43" t="str">
        <x:v>Sim</x:v>
      </x:c>
      <x:c r="T237" s="43" t="str">
        <x:v>Peças especiais para complementar o atendimento da RubberTech Vedações Industriais</x:v>
      </x:c>
      <x:c r="U237" s="43" t="str">
        <x:v>Olá, equipe da RubberTech Vedações Industriais,</x:v>
      </x:c>
      <x:c r="V237" s="43" t="str">
        <x:v>Olá, equipe da RubberTech Vedações Industriais,
Estou entrando em contato porque a atuação da RubberTech Vedações Industriais em vedações tem boa aderência ao tipo de fabricação especial que realizamos na Parts Seals.
Em Recife/PE, cadeias como alimentos, químico, metalmecânico, energia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37" s="43" t="str">
        <x:v>Olá, equipe da RubberTech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37" s="43" t="str">
        <x:v>Olá, equipe da RubberTech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37" s="43" t="str">
        <x:v>Vocês recebem consultas de peças especiais que acabam sem atendimento por prazo, material, quantidade ou ausência de desenho?</x:v>
      </x:c>
      <x:c r="Z237" s="43" t="str">
        <x:v>Este contato foi direcionado a um canal corporativo público por possível aderência entre as atividades das empresas. Para não receber novas mensagens da Parts Seals, responda com REMOVER.</x:v>
      </x:c>
      <x:c r="AA237" s="43" t="str">
        <x:v>Sem e-mail</x:v>
      </x:c>
      <x:c r="AB237" s="43" t="str">
        <x:v>Não</x:v>
      </x:c>
      <x:c r="AC237" s="44"/>
      <x:c r="AD237" s="44"/>
      <x:c r="AE237" s="44"/>
      <x:c r="AF237" s="44"/>
      <x:c r="AG237" s="43"/>
      <x:c r="AH237" s="43"/>
      <x:c r="AI237" s="43" t="str">
        <x:v>Não</x:v>
      </x:c>
      <x:c r="AJ237" s="43"/>
      <x:c r="AK237" s="43"/>
      <x:c r="AL237" s="43" t="str">
        <x:v>https://perfildaindustria.portaldaindustria.com.br/estado/tudo/pe</x:v>
      </x:c>
      <x:c r="AM237" s="43" t="str">
        <x:v>Não localizado em fonte pública confiável até 24/07/2026</x:v>
      </x:c>
      <x:c r="AN237" s="43" t="str">
        <x:v>Pesquise a empresa RubberTech Vedações Industriais, de Recife/PE,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37" s="43" t="str">
        <x:v>2026-07-24 v1</x:v>
      </x:c>
    </x:row>
    <x:row r="238" ht="72" customHeight="1">
      <x:c r="A238" s="43" t="n">
        <x:v>237</x:v>
      </x:c>
      <x:c r="B238" s="43" t="str">
        <x:v>Só Vedações - Centro</x:v>
      </x:c>
      <x:c r="C238" s="43" t="str">
        <x:v>Vedações</x:v>
      </x:c>
      <x:c r="D238" s="43" t="str">
        <x:v>Recife</x:v>
      </x:c>
      <x:c r="E238" s="43" t="str">
        <x:v>PE</x:v>
      </x:c>
      <x:c r="F238" s="43" t="str">
        <x:v>Nordeste</x:v>
      </x:c>
      <x:c r="G238" s="43" t="str">
        <x:v>B - Média</x:v>
      </x:c>
      <x:c r="H238" s="43" t="str">
        <x:v>Não contatado</x:v>
      </x:c>
      <x:c r="I238" s="43" t="str">
        <x:v>sovedacoes@sovedacoes.com.br</x:v>
      </x:c>
      <x:c r="J238" s="43" t="str">
        <x:v>https://sovedacoes.com.br/contato/</x:v>
      </x:c>
      <x:c r="K238" s="43" t="str">
        <x:v>Sim</x:v>
      </x:c>
      <x:c r="L238" s="43" t="str">
        <x:v>especialista ou revenda de vedações industriais</x:v>
      </x:c>
      <x:c r="M238" s="43" t="str">
        <x:v>alimentos, químico, metalmecânico, energia e manutenção industrial</x:v>
      </x:c>
      <x:c r="N238" s="43" t="str">
        <x:v>gaxetas, raspadores, anéis guia, vedações de haste e pistão, retentores especiais e reposições fora de linha</x:v>
      </x:c>
      <x:c r="O238" s="43" t="str">
        <x:v>peças sob medida em PTFE puro ou carregado, poliuretano, NBR, FKM, nylon e outros materiais técnicos</x:v>
      </x:c>
      <x:c r="P238" s="43" t="str">
        <x:v>complementar o portfólio com itens especiais, pequenas e médias séries, urgências e fabricação por desenho ou amostra</x:v>
      </x:c>
      <x:c r="Q238" s="43" t="str">
        <x:v>Segmento da base: Vedações; localização: Recife/PE; contexto industrial regional usado apenas como hipótese comercial. Domínio do e-mail coincide com a fonte oficial. Nenhuma afirmação sobre clientes ou aplicações específicas da empresa foi feita sem fonte.</x:v>
      </x:c>
      <x:c r="R238" s="43" t="str">
        <x:v>Alta</x:v>
      </x:c>
      <x:c r="S238" s="43" t="str">
        <x:v>Recomendada</x:v>
      </x:c>
      <x:c r="T238" s="43" t="str">
        <x:v>Possível parceria técnica — Só Vedações - Centro e Parts Seals</x:v>
      </x:c>
      <x:c r="U238" s="43" t="str">
        <x:v>Olá, equipe da Só Vedações - Centro,</x:v>
      </x:c>
      <x:c r="V238" s="43" t="str">
        <x:v>Olá, equipe da Só Vedações - Centro,
Ao analisar o perfil da Só Vedações - Centro em Recife, identifiquei uma possibilidade de parceria para demandas de vedação que não se encaixam bem em linhas padronizadas.
Em Recife/PE, cadeias como alimentos, químico, metalmecânico, energia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38" s="43" t="str">
        <x:v>Olá, equipe da Só Vedações - Centro,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38" s="43" t="str">
        <x:v>Olá, equipe da Só Vedações - Centro,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38" s="43" t="str">
        <x:v>Vocês recebem consultas de peças especiais que acabam sem atendimento por prazo, material, quantidade ou ausência de desenho?</x:v>
      </x:c>
      <x:c r="Z238" s="43" t="str">
        <x:v>Este contato foi direcionado a um canal corporativo público por possível aderência entre as atividades das empresas. Para não receber novas mensagens da Parts Seals, responda com REMOVER.</x:v>
      </x:c>
      <x:c r="AA238" s="43" t="str">
        <x:v>Aguardando aprovação</x:v>
      </x:c>
      <x:c r="AB238" s="43" t="str">
        <x:v>Não</x:v>
      </x:c>
      <x:c r="AC238" s="44"/>
      <x:c r="AD238" s="44"/>
      <x:c r="AE238" s="44"/>
      <x:c r="AF238" s="44"/>
      <x:c r="AG238" s="43"/>
      <x:c r="AH238" s="43"/>
      <x:c r="AI238" s="43" t="str">
        <x:v>Não</x:v>
      </x:c>
      <x:c r="AJ238" s="43"/>
      <x:c r="AK238" s="43"/>
      <x:c r="AL238" s="43" t="str">
        <x:v>https://perfildaindustria.portaldaindustria.com.br/estado/tudo/pe</x:v>
      </x:c>
      <x:c r="AM238" s="43" t="str">
        <x:v>https://sovedacoes.com.br/contato/</x:v>
      </x:c>
      <x:c r="AN238" s="43" t="str">
        <x:v>Pesquise a empresa Só Vedações - Centro, de Recife/PE,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38" s="43" t="str">
        <x:v>2026-07-24 v1</x:v>
      </x:c>
    </x:row>
    <x:row r="239" ht="72" customHeight="1">
      <x:c r="A239" s="43" t="n">
        <x:v>238</x:v>
      </x:c>
      <x:c r="B239" s="43" t="str">
        <x:v>Só Vedações - Imbiribeira</x:v>
      </x:c>
      <x:c r="C239" s="43" t="str">
        <x:v>Vedações</x:v>
      </x:c>
      <x:c r="D239" s="43" t="str">
        <x:v>Recife</x:v>
      </x:c>
      <x:c r="E239" s="43" t="str">
        <x:v>PE</x:v>
      </x:c>
      <x:c r="F239" s="43" t="str">
        <x:v>Nordeste</x:v>
      </x:c>
      <x:c r="G239" s="43" t="str">
        <x:v>B - Média</x:v>
      </x:c>
      <x:c r="H239" s="43" t="str">
        <x:v>Não contatado</x:v>
      </x:c>
      <x:c r="I239" s="43" t="str">
        <x:v>filial1@sovedacoes.com.br</x:v>
      </x:c>
      <x:c r="J239" s="43" t="str">
        <x:v>https://sovedacoes.com.br/contato/</x:v>
      </x:c>
      <x:c r="K239" s="43" t="str">
        <x:v>Sim</x:v>
      </x:c>
      <x:c r="L239" s="43" t="str">
        <x:v>especialista ou revenda de vedações industriais</x:v>
      </x:c>
      <x:c r="M239" s="43" t="str">
        <x:v>alimentos, químico, metalmecânico, energia e manutenção industrial</x:v>
      </x:c>
      <x:c r="N239" s="43" t="str">
        <x:v>gaxetas, raspadores, anéis guia, vedações de haste e pistão, retentores especiais e reposições fora de linha</x:v>
      </x:c>
      <x:c r="O239" s="43" t="str">
        <x:v>peças sob medida em PTFE puro ou carregado, poliuretano, NBR, FKM, nylon e outros materiais técnicos</x:v>
      </x:c>
      <x:c r="P239" s="43" t="str">
        <x:v>complementar o portfólio com itens especiais, pequenas e médias séries, urgências e fabricação por desenho ou amostra</x:v>
      </x:c>
      <x:c r="Q239" s="43" t="str">
        <x:v>Segmento da base: Vedações; localização: Recife/PE; contexto industrial regional usado apenas como hipótese comercial. Domínio do e-mail coincide com a fonte oficial. Nenhuma afirmação sobre clientes ou aplicações específicas da empresa foi feita sem fonte.</x:v>
      </x:c>
      <x:c r="R239" s="43" t="str">
        <x:v>Alta</x:v>
      </x:c>
      <x:c r="S239" s="43" t="str">
        <x:v>Recomendada</x:v>
      </x:c>
      <x:c r="T239" s="43" t="str">
        <x:v>Apoio em vedações sob medida para a Só Vedações - Imbiribeira</x:v>
      </x:c>
      <x:c r="U239" s="43" t="str">
        <x:v>Olá, equipe da Só Vedações - Imbiribeira,</x:v>
      </x:c>
      <x:c r="V239" s="43" t="str">
        <x:v>Olá, equipe da Só Vedações - Imbiribeira,
A Parts Seals está ampliando parcerias com empresas técnicas do setor, e o perfil da Só Vedações - Imbiribeira chamou nossa atenção pela atuação em vedações.
Em Recife/PE, cadeias como alimentos, químico, metalmecânico, energia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39" s="43" t="str">
        <x:v>Olá, equipe da Só Vedações - Imbiribeira,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39" s="43" t="str">
        <x:v>Olá, equipe da Só Vedações - Imbiribeira,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39" s="43" t="str">
        <x:v>Vocês recebem consultas de peças especiais que acabam sem atendimento por prazo, material, quantidade ou ausência de desenho?</x:v>
      </x:c>
      <x:c r="Z239" s="43" t="str">
        <x:v>Este contato foi direcionado a um canal corporativo público por possível aderência entre as atividades das empresas. Para não receber novas mensagens da Parts Seals, responda com REMOVER.</x:v>
      </x:c>
      <x:c r="AA239" s="43" t="str">
        <x:v>Aguardando aprovação</x:v>
      </x:c>
      <x:c r="AB239" s="43" t="str">
        <x:v>Não</x:v>
      </x:c>
      <x:c r="AC239" s="44"/>
      <x:c r="AD239" s="44"/>
      <x:c r="AE239" s="44"/>
      <x:c r="AF239" s="44"/>
      <x:c r="AG239" s="43"/>
      <x:c r="AH239" s="43"/>
      <x:c r="AI239" s="43" t="str">
        <x:v>Não</x:v>
      </x:c>
      <x:c r="AJ239" s="43"/>
      <x:c r="AK239" s="43"/>
      <x:c r="AL239" s="43" t="str">
        <x:v>https://perfildaindustria.portaldaindustria.com.br/estado/tudo/pe</x:v>
      </x:c>
      <x:c r="AM239" s="43" t="str">
        <x:v>https://sovedacoes.com.br/contato/</x:v>
      </x:c>
      <x:c r="AN239" s="43" t="str">
        <x:v>Pesquise a empresa Só Vedações - Imbiribeira, de Recife/PE,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39" s="43" t="str">
        <x:v>2026-07-24 v1</x:v>
      </x:c>
    </x:row>
    <x:row r="240" ht="72" customHeight="1">
      <x:c r="A240" s="43" t="n">
        <x:v>239</x:v>
      </x:c>
      <x:c r="B240" s="43" t="str">
        <x:v>Vedacom Comércio e Serviços de Vedações e Molas</x:v>
      </x:c>
      <x:c r="C240" s="43" t="str">
        <x:v>Vedações</x:v>
      </x:c>
      <x:c r="D240" s="43" t="str">
        <x:v>Recife</x:v>
      </x:c>
      <x:c r="E240" s="43" t="str">
        <x:v>PE</x:v>
      </x:c>
      <x:c r="F240" s="43" t="str">
        <x:v>Nordeste</x:v>
      </x:c>
      <x:c r="G240" s="43" t="str">
        <x:v>B - Média</x:v>
      </x:c>
      <x:c r="H240" s="43" t="str">
        <x:v>Não contatado</x:v>
      </x:c>
      <x:c r="I240" s="43"/>
      <x:c r="J240" s="43" t="str">
        <x:v>Não localizado em fonte pública confiável até 24/07/2026</x:v>
      </x:c>
      <x:c r="K240" s="43" t="str">
        <x:v>Não</x:v>
      </x:c>
      <x:c r="L240" s="43" t="str">
        <x:v>especialista ou revenda de vedações industriais</x:v>
      </x:c>
      <x:c r="M240" s="43" t="str">
        <x:v>alimentos, químico, metalmecânico, energia e manutenção industrial</x:v>
      </x:c>
      <x:c r="N240" s="43" t="str">
        <x:v>gaxetas, raspadores, anéis guia, vedações de haste e pistão, retentores especiais e reposições fora de linha</x:v>
      </x:c>
      <x:c r="O240" s="43" t="str">
        <x:v>peças sob medida em PTFE puro ou carregado, poliuretano, NBR, FKM, nylon e outros materiais técnicos</x:v>
      </x:c>
      <x:c r="P240" s="43" t="str">
        <x:v>complementar o portfólio com itens especiais, pequenas e médias séries, urgências e fabricação por desenho ou amostra</x:v>
      </x:c>
      <x:c r="Q240" s="43" t="str">
        <x:v>Segmento da base: Vedações; localização: Recife/PE; contexto industrial regional usado apenas como hipótese comercial. Sem e-mail público localizado. Nenhuma afirmação sobre clientes ou aplicações específicas da empresa foi feita sem fonte.</x:v>
      </x:c>
      <x:c r="R240" s="43" t="str">
        <x:v>Baixa</x:v>
      </x:c>
      <x:c r="S240" s="43" t="str">
        <x:v>Sim</x:v>
      </x:c>
      <x:c r="T240" s="43" t="str">
        <x:v>Demandas fora de catálogo na Vedacom Comércio e Serviços de Vedações e Molas</x:v>
      </x:c>
      <x:c r="U240" s="43" t="str">
        <x:v>Olá, equipe da Vedacom Comércio e Serviços de Vedações e Molas,</x:v>
      </x:c>
      <x:c r="V240" s="43" t="str">
        <x:v>Olá, equipe da Vedacom Comércio e Serviços de Vedações e Molas,
Gostaria de apresentar uma possibilidade de apoio complementar à Vedacom Comércio e Serviços de Vedações e Molas para peças especiais, urgências e reposições fora de catálogo.
Em Recife/PE, cadeias como alimentos, químico, metalmecânico, energia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40" s="43" t="str">
        <x:v>Olá, equipe da Vedacom Comércio e Serviços de Vedações e Molas,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40" s="43" t="str">
        <x:v>Olá, equipe da Vedacom Comércio e Serviços de Vedações e Molas,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40" s="43" t="str">
        <x:v>Vocês recebem consultas de peças especiais que acabam sem atendimento por prazo, material, quantidade ou ausência de desenho?</x:v>
      </x:c>
      <x:c r="Z240" s="43" t="str">
        <x:v>Este contato foi direcionado a um canal corporativo público por possível aderência entre as atividades das empresas. Para não receber novas mensagens da Parts Seals, responda com REMOVER.</x:v>
      </x:c>
      <x:c r="AA240" s="43" t="str">
        <x:v>Sem e-mail</x:v>
      </x:c>
      <x:c r="AB240" s="43" t="str">
        <x:v>Não</x:v>
      </x:c>
      <x:c r="AC240" s="44"/>
      <x:c r="AD240" s="44"/>
      <x:c r="AE240" s="44"/>
      <x:c r="AF240" s="44"/>
      <x:c r="AG240" s="43"/>
      <x:c r="AH240" s="43"/>
      <x:c r="AI240" s="43" t="str">
        <x:v>Não</x:v>
      </x:c>
      <x:c r="AJ240" s="43"/>
      <x:c r="AK240" s="43"/>
      <x:c r="AL240" s="43" t="str">
        <x:v>https://perfildaindustria.portaldaindustria.com.br/estado/tudo/pe</x:v>
      </x:c>
      <x:c r="AM240" s="43" t="str">
        <x:v>Não localizado em fonte pública confiável até 24/07/2026</x:v>
      </x:c>
      <x:c r="AN240" s="43" t="str">
        <x:v>Pesquise a empresa Vedacom Comércio e Serviços de Vedações e Molas, de Recife/PE,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40" s="43" t="str">
        <x:v>2026-07-24 v1</x:v>
      </x:c>
    </x:row>
    <x:row r="241" ht="72" customHeight="1">
      <x:c r="A241" s="43" t="n">
        <x:v>240</x:v>
      </x:c>
      <x:c r="B241" s="43" t="str">
        <x:v>Vedart Vedações</x:v>
      </x:c>
      <x:c r="C241" s="43" t="str">
        <x:v>Vedações</x:v>
      </x:c>
      <x:c r="D241" s="43" t="str">
        <x:v>Recife</x:v>
      </x:c>
      <x:c r="E241" s="43" t="str">
        <x:v>PE</x:v>
      </x:c>
      <x:c r="F241" s="43" t="str">
        <x:v>Nordeste</x:v>
      </x:c>
      <x:c r="G241" s="43" t="str">
        <x:v>B - Média</x:v>
      </x:c>
      <x:c r="H241" s="43" t="str">
        <x:v>Não contatado</x:v>
      </x:c>
      <x:c r="I241" s="43" t="str">
        <x:v>atendimento@vedartvedacoes.com.br</x:v>
      </x:c>
      <x:c r="J241" s="43" t="str">
        <x:v>https://www.instagram.com/vedartvedacoes/</x:v>
      </x:c>
      <x:c r="K241" s="43" t="str">
        <x:v>Sim</x:v>
      </x:c>
      <x:c r="L241" s="43" t="str">
        <x:v>especialista ou revenda de vedações industriais</x:v>
      </x:c>
      <x:c r="M241" s="43" t="str">
        <x:v>alimentos, químico, metalmecânico, energia e manutenção industrial</x:v>
      </x:c>
      <x:c r="N241" s="43" t="str">
        <x:v>gaxetas, raspadores, anéis guia, vedações de haste e pistão, retentores especiais e reposições fora de linha</x:v>
      </x:c>
      <x:c r="O241" s="43" t="str">
        <x:v>peças sob medida em PTFE puro ou carregado, poliuretano, NBR, FKM, nylon e outros materiais técnicos</x:v>
      </x:c>
      <x:c r="P241" s="43" t="str">
        <x:v>complementar o portfólio com itens especiais, pequenas e médias séries, urgências e fabricação por desenho ou amostra</x:v>
      </x:c>
      <x:c r="Q241" s="43" t="str">
        <x:v>Segmento da base: Vedações; localização: Recife/PE; contexto industrial regional usado apenas como hipótese comercial. Contato publicado em perfil ou diretório institucional. Nenhuma afirmação sobre clientes ou aplicações específicas da empresa foi feita sem fonte.</x:v>
      </x:c>
      <x:c r="R241" s="43" t="str">
        <x:v>Moderada</x:v>
      </x:c>
      <x:c r="S241" s="43" t="str">
        <x:v>Sim</x:v>
      </x:c>
      <x:c r="T241" s="43" t="str">
        <x:v>Peças especiais para complementar o atendimento da Vedart Vedações</x:v>
      </x:c>
      <x:c r="U241" s="43" t="str">
        <x:v>Olá, equipe da Vedart Vedações,</x:v>
      </x:c>
      <x:c r="V241" s="43" t="str">
        <x:v>Olá, equipe da Vedart Vedações,
Estou entrando em contato porque a atuação da Vedart Vedações em vedações tem boa aderência ao tipo de fabricação especial que realizamos na Parts Seals.
Em Recife/PE, cadeias como alimentos, químico, metalmecânico, energia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NBR, PU, PTFE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41" s="43" t="str">
        <x:v>Olá, equipe da Vedart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41" s="43" t="str">
        <x:v>Olá, equipe da Vedart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41" s="43" t="str">
        <x:v>Vocês recebem consultas de peças especiais que acabam sem atendimento por prazo, material, quantidade ou ausência de desenho?</x:v>
      </x:c>
      <x:c r="Z241" s="43" t="str">
        <x:v>Este contato foi direcionado a um canal corporativo público por possível aderência entre as atividades das empresas. Para não receber novas mensagens da Parts Seals, responda com REMOVER.</x:v>
      </x:c>
      <x:c r="AA241" s="43" t="str">
        <x:v>Aguardando aprovação</x:v>
      </x:c>
      <x:c r="AB241" s="43" t="str">
        <x:v>Não</x:v>
      </x:c>
      <x:c r="AC241" s="44"/>
      <x:c r="AD241" s="44"/>
      <x:c r="AE241" s="44"/>
      <x:c r="AF241" s="44"/>
      <x:c r="AG241" s="43"/>
      <x:c r="AH241" s="43"/>
      <x:c r="AI241" s="43" t="str">
        <x:v>Não</x:v>
      </x:c>
      <x:c r="AJ241" s="43"/>
      <x:c r="AK241" s="43"/>
      <x:c r="AL241" s="43" t="str">
        <x:v>https://perfildaindustria.portaldaindustria.com.br/estado/tudo/pe</x:v>
      </x:c>
      <x:c r="AM241" s="43" t="str">
        <x:v>https://www.instagram.com/vedartvedacoes/</x:v>
      </x:c>
      <x:c r="AN241" s="43" t="str">
        <x:v>Pesquise a empresa Vedart Vedações, de Recife/PE,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41" s="43" t="str">
        <x:v>2026-07-24 v1</x:v>
      </x:c>
    </x:row>
    <x:row r="242" ht="72" customHeight="1">
      <x:c r="A242" s="43" t="n">
        <x:v>241</x:v>
      </x:c>
      <x:c r="B242" s="43" t="str">
        <x:v>Natal Rolamentos e Retentores</x:v>
      </x:c>
      <x:c r="C242" s="43" t="str">
        <x:v>Rolamentos/Vedações</x:v>
      </x:c>
      <x:c r="D242" s="43" t="str">
        <x:v>Natal</x:v>
      </x:c>
      <x:c r="E242" s="43" t="str">
        <x:v>RN</x:v>
      </x:c>
      <x:c r="F242" s="43" t="str">
        <x:v>Nordeste</x:v>
      </x:c>
      <x:c r="G242" s="43" t="str">
        <x:v>A - Alta</x:v>
      </x:c>
      <x:c r="H242" s="43" t="str">
        <x:v>Não contatado</x:v>
      </x:c>
      <x:c r="I242" s="43"/>
      <x:c r="J242" s="43" t="str">
        <x:v>Não localizado em fonte pública confiável até 24/07/2026</x:v>
      </x:c>
      <x:c r="K242" s="43" t="str">
        <x:v>Não</x:v>
      </x:c>
      <x:c r="L242" s="43" t="str">
        <x:v>distribuidor de rolamentos, retentores e vedações</x:v>
      </x:c>
      <x:c r="M242" s="43" t="str">
        <x:v>óleo e gás, energia, alimentos e manutenção industrial</x:v>
      </x:c>
      <x:c r="N242" s="43" t="str">
        <x:v>retentores especiais, anéis, vedações rotativas, kits e componentes para manutenção de máquinas</x:v>
      </x:c>
      <x:c r="O242" s="43" t="str">
        <x:v>peças especiais em NBR, FKM, PU e PTFE, inclusive medidas fora de catálogo</x:v>
      </x:c>
      <x:c r="P242" s="43" t="str">
        <x:v>complementar a linha padronizada com reposições especiais e itens descontinuados</x:v>
      </x:c>
      <x:c r="Q242" s="43" t="str">
        <x:v>Segmento da base: Rolamentos/Vedações; localização: Natal/RN; contexto industrial regional usado apenas como hipótese comercial. Sem e-mail público localizado. Nenhuma afirmação sobre clientes ou aplicações específicas da empresa foi feita sem fonte.</x:v>
      </x:c>
      <x:c r="R242" s="43" t="str">
        <x:v>Baixa</x:v>
      </x:c>
      <x:c r="S242" s="43" t="str">
        <x:v>Sim</x:v>
      </x:c>
      <x:c r="T242" s="43" t="str">
        <x:v>Medidas fora de catálogo — apoio Parts Seals</x:v>
      </x:c>
      <x:c r="U242" s="43" t="str">
        <x:v>Olá, equipe da Natal Rolamentos e Retentores,</x:v>
      </x:c>
      <x:c r="V242" s="43" t="str">
        <x:v>Olá, equipe da Natal Rolamentos e Retentores,
Ao analisar o perfil da Natal Rolamentos e Retentores em Natal, identifiquei uma possibilidade de parceria para demandas de vedação que não se encaixam bem em linhas padronizadas.
Em Natal/RN, cadeias como óleo e gás, energia, alimentos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PTFE, FKM, PU e NBR.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242" s="43" t="str">
        <x:v>Olá, equipe da Natal Rolamentos e Retentores,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242" s="43" t="str">
        <x:v>Olá, equipe da Natal Rolamentos e Retentores,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42" s="43" t="str">
        <x:v>Vocês têm pedidos de retentores ou vedações em medidas especiais que não encontram nos catálogos tradicionais?</x:v>
      </x:c>
      <x:c r="Z242" s="43" t="str">
        <x:v>Este contato foi direcionado a um canal corporativo público por possível aderência entre as atividades das empresas. Para não receber novas mensagens da Parts Seals, responda com REMOVER.</x:v>
      </x:c>
      <x:c r="AA242" s="43" t="str">
        <x:v>Sem e-mail</x:v>
      </x:c>
      <x:c r="AB242" s="43" t="str">
        <x:v>Não</x:v>
      </x:c>
      <x:c r="AC242" s="44"/>
      <x:c r="AD242" s="44"/>
      <x:c r="AE242" s="44"/>
      <x:c r="AF242" s="44"/>
      <x:c r="AG242" s="43"/>
      <x:c r="AH242" s="43"/>
      <x:c r="AI242" s="43" t="str">
        <x:v>Não</x:v>
      </x:c>
      <x:c r="AJ242" s="43"/>
      <x:c r="AK242" s="43"/>
      <x:c r="AL242" s="43" t="str">
        <x:v>https://perfildaindustria.portaldaindustria.com.br/estado/tudo/rn | https://www.gov.br/anp/pt-br/centrais-de-conteudo/paineis-dinamicos-da-anp/paineis-dinamicos-sobre-exploracao-e-producao-de-petroleo-e-gas/painel-de-pocos-na-fase-de-producao</x:v>
      </x:c>
      <x:c r="AM242" s="43" t="str">
        <x:v>Não localizado em fonte pública confiável até 24/07/2026</x:v>
      </x:c>
      <x:c r="AN242" s="43" t="str">
        <x:v>Pesquise a empresa Natal Rolamentos e Retentores, de Natal/RN,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42" s="43" t="str">
        <x:v>2026-07-24 v1</x:v>
      </x:c>
    </x:row>
    <x:row r="243" ht="72" customHeight="1">
      <x:c r="A243" s="43" t="n">
        <x:v>242</x:v>
      </x:c>
      <x:c r="B243" s="43" t="str">
        <x:v>Nordeste Rolamentos</x:v>
      </x:c>
      <x:c r="C243" s="43" t="str">
        <x:v>Rolamentos/Vedações</x:v>
      </x:c>
      <x:c r="D243" s="43" t="str">
        <x:v>Natal</x:v>
      </x:c>
      <x:c r="E243" s="43" t="str">
        <x:v>RN</x:v>
      </x:c>
      <x:c r="F243" s="43" t="str">
        <x:v>Nordeste</x:v>
      </x:c>
      <x:c r="G243" s="43" t="str">
        <x:v>A - Alta</x:v>
      </x:c>
      <x:c r="H243" s="43" t="str">
        <x:v>Não contatado</x:v>
      </x:c>
      <x:c r="I243" s="43" t="str">
        <x:v>comercial@nordesterolamentos.com.br</x:v>
      </x:c>
      <x:c r="J243" s="43" t="str">
        <x:v>https://nordesterolamentos.com.br/produto/retentores/</x:v>
      </x:c>
      <x:c r="K243" s="43" t="str">
        <x:v>Sim</x:v>
      </x:c>
      <x:c r="L243" s="43" t="str">
        <x:v>distribuidor de rolamentos, retentores e vedações</x:v>
      </x:c>
      <x:c r="M243" s="43" t="str">
        <x:v>óleo e gás, energia, alimentos e manutenção industrial</x:v>
      </x:c>
      <x:c r="N243" s="43" t="str">
        <x:v>retentores especiais, anéis, vedações rotativas, kits e componentes para manutenção de máquinas</x:v>
      </x:c>
      <x:c r="O243" s="43" t="str">
        <x:v>peças especiais em NBR, FKM, PU e PTFE, inclusive medidas fora de catálogo</x:v>
      </x:c>
      <x:c r="P243" s="43" t="str">
        <x:v>complementar a linha padronizada com reposições especiais e itens descontinuados</x:v>
      </x:c>
      <x:c r="Q243" s="43" t="str">
        <x:v>Segmento da base: Rolamentos/Vedações; localização: Natal/RN; contexto industrial regional usado apenas como hipótese comercial. Domínio do e-mail coincide com a fonte oficial. Nenhuma afirmação sobre clientes ou aplicações específicas da empresa foi feita sem fonte.</x:v>
      </x:c>
      <x:c r="R243" s="43" t="str">
        <x:v>Alta</x:v>
      </x:c>
      <x:c r="S243" s="43" t="str">
        <x:v>Recomendada</x:v>
      </x:c>
      <x:c r="T243" s="43" t="str">
        <x:v>Complemento para a linha de vedações da Nordeste Rolamentos</x:v>
      </x:c>
      <x:c r="U243" s="43" t="str">
        <x:v>Olá, equipe da Nordeste Rolamentos,</x:v>
      </x:c>
      <x:c r="V243" s="43" t="str">
        <x:v>Olá, equipe da Nordeste Rolamentos,
A Parts Seals está ampliando parcerias com empresas técnicas do setor, e o perfil da Nordeste Rolamentos chamou nossa atenção pela atuação em rolamentos/vedações.
Em Natal/RN, cadeias como óleo e gás, energia, alimentos e manutenção industrial costumam gerar solicitações de vedações especiais, principalmente quando há pressão, desgaste, ataque químico, temperatura ou dificuldade de reposição. Para o perfil de distribuidor de rolamentos, retentores e vedações, vemos maior aderência em retentores especiais, anéis, vedações rotativas, kits e componentes para manutenção de máquinas.
A Parts Seals pode apoiar com peças especiais em NBR, FKM, PU e PTFE, inclusive medidas fora de catálogo. A seleção final do material é validada conforme a aplicação; para as demandas mais comuns da região, vale avaliar especialmente PTFE, FKM, PU e NBR. Nosso objetivo é complementar a linha padronizada com reposições especiais e itens descontinuados.
Vocês têm pedidos de retentores ou vedações em medidas especiais que não encontram nos catálogos tradicionais?
Posso encaminhar uma apresentação curta ou avaliar um item real, sem compromisso?
Atenciosamente,
{{NOME_REMETENTE}}
Parts Seals Vedações Industriais
{{TELEFONE_REMETENTE}} | {{SITE_REMETENTE}}</x:v>
      </x:c>
      <x:c r="W243" s="43" t="str">
        <x:v>Olá, equipe da Nordeste Rolamentos,
Retomando meu contato: pelo perfil de rolamentos/vedações de vocês, acredito que podemos apoiar principalmente em retentores especiais, anéis, vedações rotativas, kits e componentes para manutenção de máquinas.
Se tiverem uma medida, desenho ou foto de um item difícil de localizar, podemos fazer uma análise inicial e indicar o material mais adequado. Há algum caso em aberto que possamos avaliar?
Atenciosamente,
{{NOME_REMETENTE}}
Parts Seals Vedações Industriais</x:v>
      </x:c>
      <x:c r="X243" s="43" t="str">
        <x:v>Olá, equipe da Nordeste Rolamentos,
Encerrando meu contato para não insistir. Caso surja alguma demanda de retentores especiais, anéis, vedações rotativas, kits e componentes para manutenção de máquinas,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43" s="43" t="str">
        <x:v>Vocês têm pedidos de retentores ou vedações em medidas especiais que não encontram nos catálogos tradicionais?</x:v>
      </x:c>
      <x:c r="Z243" s="43" t="str">
        <x:v>Este contato foi direcionado a um canal corporativo público por possível aderência entre as atividades das empresas. Para não receber novas mensagens da Parts Seals, responda com REMOVER.</x:v>
      </x:c>
      <x:c r="AA243" s="43" t="str">
        <x:v>Aguardando aprovação</x:v>
      </x:c>
      <x:c r="AB243" s="43" t="str">
        <x:v>Não</x:v>
      </x:c>
      <x:c r="AC243" s="44"/>
      <x:c r="AD243" s="44"/>
      <x:c r="AE243" s="44"/>
      <x:c r="AF243" s="44"/>
      <x:c r="AG243" s="43"/>
      <x:c r="AH243" s="43"/>
      <x:c r="AI243" s="43" t="str">
        <x:v>Não</x:v>
      </x:c>
      <x:c r="AJ243" s="43"/>
      <x:c r="AK243" s="43"/>
      <x:c r="AL243" s="43" t="str">
        <x:v>https://perfildaindustria.portaldaindustria.com.br/estado/tudo/rn | https://www.gov.br/anp/pt-br/centrais-de-conteudo/paineis-dinamicos-da-anp/paineis-dinamicos-sobre-exploracao-e-producao-de-petroleo-e-gas/painel-de-pocos-na-fase-de-producao</x:v>
      </x:c>
      <x:c r="AM243" s="43" t="str">
        <x:v>https://nordesterolamentos.com.br/produto/retentores/</x:v>
      </x:c>
      <x:c r="AN243" s="43" t="str">
        <x:v>Pesquise a empresa Nordeste Rolamentos, de Natal/RN,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43" s="43" t="str">
        <x:v>2026-07-24 v1</x:v>
      </x:c>
    </x:row>
    <x:row r="244" ht="72" customHeight="1">
      <x:c r="A244" s="43" t="n">
        <x:v>243</x:v>
      </x:c>
      <x:c r="B244" s="43" t="str">
        <x:v>Aracaju Vedações</x:v>
      </x:c>
      <x:c r="C244" s="43" t="str">
        <x:v>Hidráulica/Vedações</x:v>
      </x:c>
      <x:c r="D244" s="43" t="str">
        <x:v>Aracaju</x:v>
      </x:c>
      <x:c r="E244" s="43" t="str">
        <x:v>SE</x:v>
      </x:c>
      <x:c r="F244" s="43" t="str">
        <x:v>Nordeste</x:v>
      </x:c>
      <x:c r="G244" s="43" t="str">
        <x:v>C - Baixa</x:v>
      </x:c>
      <x:c r="H244" s="43" t="str">
        <x:v>Não contatado</x:v>
      </x:c>
      <x:c r="I244" s="43"/>
      <x:c r="J244" s="43" t="str">
        <x:v>Não localizado em fonte pública confiável até 24/07/2026</x:v>
      </x:c>
      <x:c r="K244" s="43" t="str">
        <x:v>Não</x:v>
      </x:c>
      <x:c r="L244" s="43" t="str">
        <x:v>fornecedor de componentes hidráulicos e vedações</x:v>
      </x:c>
      <x:c r="M244" s="43" t="str">
        <x:v>óleo e gás, fertilizantes, alimentos e manutenção industrial</x:v>
      </x:c>
      <x:c r="N244" s="43" t="str">
        <x:v>gaxetas de haste e pistão, raspadores, anéis guia, vedações rotativas e kits para cilindros hidráulicos</x:v>
      </x:c>
      <x:c r="O244" s="43" t="str">
        <x:v>vedações em PU, PTFE puro ou carregado, NBR e FKM, dimensionadas conforme pressão, velocidade, fluido e temperatura</x:v>
      </x:c>
      <x:c r="P244" s="43" t="str">
        <x:v>apoiar reformas e montagens com peças não padronizadas, reposições antigas e fabricação rápida por amostra ou desenho</x:v>
      </x:c>
      <x:c r="Q244" s="43" t="str">
        <x:v>Segmento da base: Hidráulica/Vedações; localização: Aracaju/SE; contexto industrial regional usado apenas como hipótese comercial. Sem e-mail público localizado. Nenhuma afirmação sobre clientes ou aplicações específicas da empresa foi feita sem fonte.</x:v>
      </x:c>
      <x:c r="R244" s="43" t="str">
        <x:v>Baixa</x:v>
      </x:c>
      <x:c r="S244" s="43" t="str">
        <x:v>Sim</x:v>
      </x:c>
      <x:c r="T244" s="43" t="str">
        <x:v>Possível parceria técnica com a Aracaju Vedações</x:v>
      </x:c>
      <x:c r="U244" s="43" t="str">
        <x:v>Olá, equipe da Aracaju Vedações,</x:v>
      </x:c>
      <x:c r="V244" s="43" t="str">
        <x:v>Olá, equipe da Aracaju Vedações,
Gostaria de apresentar uma possibilidade de apoio complementar à Aracaju Vedações para peças especiais, urgências e reposições fora de catálogo.
Em Aracaju/SE, cadeias como óleo e gás, fertilizantes, alimentos e manutenção industrial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PTFE, FKM, PU e NBR.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244" s="43" t="str">
        <x:v>Olá, equipe da Aracaju Vedações,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244" s="43" t="str">
        <x:v>Olá, equipe da Aracaju Vedações,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44" s="43" t="str">
        <x:v>Há cilindros ou equipamentos para os quais vocês têm dificuldade de localizar a vedação correta ou cumprir o prazo do cliente?</x:v>
      </x:c>
      <x:c r="Z244" s="43" t="str">
        <x:v>Este contato foi direcionado a um canal corporativo público por possível aderência entre as atividades das empresas. Para não receber novas mensagens da Parts Seals, responda com REMOVER.</x:v>
      </x:c>
      <x:c r="AA244" s="43" t="str">
        <x:v>Sem e-mail</x:v>
      </x:c>
      <x:c r="AB244" s="43" t="str">
        <x:v>Não</x:v>
      </x:c>
      <x:c r="AC244" s="44"/>
      <x:c r="AD244" s="44"/>
      <x:c r="AE244" s="44"/>
      <x:c r="AF244" s="44"/>
      <x:c r="AG244" s="43"/>
      <x:c r="AH244" s="43"/>
      <x:c r="AI244" s="43" t="str">
        <x:v>Não</x:v>
      </x:c>
      <x:c r="AJ244" s="43"/>
      <x:c r="AK244" s="43"/>
      <x:c r="AL244" s="43" t="str">
        <x:v>https://perfildaindustria.portaldaindustria.com.br/estado/tudo/se | https://www.gov.br/anp/pt-br/centrais-de-conteudo/paineis-dinamicos-da-anp/paineis-dinamicos-sobre-exploracao-e-producao-de-petroleo-e-gas/painel-de-pocos-na-fase-de-producao</x:v>
      </x:c>
      <x:c r="AM244" s="43" t="str">
        <x:v>Não localizado em fonte pública confiável até 24/07/2026</x:v>
      </x:c>
      <x:c r="AN244" s="43" t="str">
        <x:v>Pesquise a empresa Aracaju Vedações, de Aracaju/SE,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44" s="43" t="str">
        <x:v>2026-07-24 v1</x:v>
      </x:c>
    </x:row>
    <x:row r="245" ht="72" customHeight="1">
      <x:c r="A245" s="43" t="n">
        <x:v>244</x:v>
      </x:c>
      <x:c r="B245" s="43" t="str">
        <x:v>Veda-Tech Comércio e Serviços</x:v>
      </x:c>
      <x:c r="C245" s="43" t="str">
        <x:v>Vedações</x:v>
      </x:c>
      <x:c r="D245" s="43" t="str">
        <x:v>Aracaju</x:v>
      </x:c>
      <x:c r="E245" s="43" t="str">
        <x:v>SE</x:v>
      </x:c>
      <x:c r="F245" s="43" t="str">
        <x:v>Nordeste</x:v>
      </x:c>
      <x:c r="G245" s="43" t="str">
        <x:v>A - Alta</x:v>
      </x:c>
      <x:c r="H245" s="43" t="str">
        <x:v>Não contatado</x:v>
      </x:c>
      <x:c r="I245" s="43" t="str">
        <x:v>contato@vedatechvedacoes.com.br</x:v>
      </x:c>
      <x:c r="J245" s="43" t="str">
        <x:v>https://vedatechvedacoes.com.br/c/uncategorized/</x:v>
      </x:c>
      <x:c r="K245" s="43" t="str">
        <x:v>Sim</x:v>
      </x:c>
      <x:c r="L245" s="43" t="str">
        <x:v>especialista ou revenda de vedações industriais</x:v>
      </x:c>
      <x:c r="M245" s="43" t="str">
        <x:v>óleo e gás, fertilizantes, alimentos e manutenção industrial</x:v>
      </x:c>
      <x:c r="N245" s="43" t="str">
        <x:v>gaxetas, raspadores, anéis guia, vedações de haste e pistão, retentores especiais e reposições fora de linha</x:v>
      </x:c>
      <x:c r="O245" s="43" t="str">
        <x:v>peças sob medida em PTFE puro ou carregado, poliuretano, NBR, FKM, nylon e outros materiais técnicos</x:v>
      </x:c>
      <x:c r="P245" s="43" t="str">
        <x:v>complementar o portfólio com itens especiais, pequenas e médias séries, urgências e fabricação por desenho ou amostra</x:v>
      </x:c>
      <x:c r="Q245" s="43" t="str">
        <x:v>Segmento da base: Vedações; localização: Aracaju/SE; contexto industrial regional usado apenas como hipótese comercial. Domínio do e-mail coincide com a fonte oficial. Nenhuma afirmação sobre clientes ou aplicações específicas da empresa foi feita sem fonte.</x:v>
      </x:c>
      <x:c r="R245" s="43" t="str">
        <x:v>Alta</x:v>
      </x:c>
      <x:c r="S245" s="43" t="str">
        <x:v>Recomendada</x:v>
      </x:c>
      <x:c r="T245" s="43" t="str">
        <x:v>Peças especiais para complementar o atendimento da Veda-Tech Comércio e Serviços</x:v>
      </x:c>
      <x:c r="U245" s="43" t="str">
        <x:v>Olá, equipe da Veda-Tech Comércio e Serviços,</x:v>
      </x:c>
      <x:c r="V245" s="43" t="str">
        <x:v>Olá, equipe da Veda-Tech Comércio e Serviços,
Estou entrando em contato porque a atuação da Veda-Tech Comércio e Serviços em vedações tem boa aderência ao tipo de fabricação especial que realizamos na Parts Seals.
Em Aracaju/SE, cadeias como óleo e gás, fertilizantes, alimentos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FKM, PU e NBR.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45" s="43" t="str">
        <x:v>Olá, equipe da Veda-Tech Comércio e Serviços,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45" s="43" t="str">
        <x:v>Olá, equipe da Veda-Tech Comércio e Serviços,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45" s="43" t="str">
        <x:v>Vocês recebem consultas de peças especiais que acabam sem atendimento por prazo, material, quantidade ou ausência de desenho?</x:v>
      </x:c>
      <x:c r="Z245" s="43" t="str">
        <x:v>Este contato foi direcionado a um canal corporativo público por possível aderência entre as atividades das empresas. Para não receber novas mensagens da Parts Seals, responda com REMOVER.</x:v>
      </x:c>
      <x:c r="AA245" s="43" t="str">
        <x:v>Aguardando aprovação</x:v>
      </x:c>
      <x:c r="AB245" s="43" t="str">
        <x:v>Não</x:v>
      </x:c>
      <x:c r="AC245" s="44"/>
      <x:c r="AD245" s="44"/>
      <x:c r="AE245" s="44"/>
      <x:c r="AF245" s="44"/>
      <x:c r="AG245" s="43"/>
      <x:c r="AH245" s="43"/>
      <x:c r="AI245" s="43" t="str">
        <x:v>Não</x:v>
      </x:c>
      <x:c r="AJ245" s="43"/>
      <x:c r="AK245" s="43"/>
      <x:c r="AL245" s="43" t="str">
        <x:v>https://perfildaindustria.portaldaindustria.com.br/estado/tudo/se | https://www.gov.br/anp/pt-br/centrais-de-conteudo/paineis-dinamicos-da-anp/paineis-dinamicos-sobre-exploracao-e-producao-de-petroleo-e-gas/painel-de-pocos-na-fase-de-producao</x:v>
      </x:c>
      <x:c r="AM245" s="43" t="str">
        <x:v>https://vedatechvedacoes.com.br/c/uncategorized/</x:v>
      </x:c>
      <x:c r="AN245" s="43" t="str">
        <x:v>Pesquise a empresa Veda-Tech Comércio e Serviços, de Aracaju/SE,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45" s="43" t="str">
        <x:v>2026-07-24 v1</x:v>
      </x:c>
    </x:row>
    <x:row r="246" ht="72" customHeight="1">
      <x:c r="A246" s="43" t="n">
        <x:v>245</x:v>
      </x:c>
      <x:c r="B246" s="43" t="str">
        <x:v>AM Soluções Industriais</x:v>
      </x:c>
      <x:c r="C246" s="43" t="str">
        <x:v>Hidráulica/Vedações</x:v>
      </x:c>
      <x:c r="D246" s="43" t="str">
        <x:v>Manaus</x:v>
      </x:c>
      <x:c r="E246" s="43" t="str">
        <x:v>AM</x:v>
      </x:c>
      <x:c r="F246" s="43" t="str">
        <x:v>Norte</x:v>
      </x:c>
      <x:c r="G246" s="43" t="str">
        <x:v>B - Média</x:v>
      </x:c>
      <x:c r="H246" s="43" t="str">
        <x:v>Não contatado</x:v>
      </x:c>
      <x:c r="I246" s="43" t="str">
        <x:v>financeiro@amsolucoesindustriais.com.br</x:v>
      </x:c>
      <x:c r="J246" s="43" t="str">
        <x:v>https://pesquisaempresas.com.br/consultando-empresa/22809239000140-am-solucoes-industriais-ltda</x:v>
      </x:c>
      <x:c r="K246" s="43" t="str">
        <x:v>Sim</x:v>
      </x:c>
      <x:c r="L246" s="43" t="str">
        <x:v>fornecedor de componentes hidráulicos e vedações</x:v>
      </x:c>
      <x:c r="M246" s="43" t="str">
        <x:v>eletroeletrônico, duas rodas, plástico, bebidas e manutenção do Polo Industrial</x:v>
      </x:c>
      <x:c r="N246" s="43" t="str">
        <x:v>gaxetas de haste e pistão, raspadores, anéis guia, vedações rotativas e kits para cilindros hidráulicos</x:v>
      </x:c>
      <x:c r="O246" s="43" t="str">
        <x:v>vedações em PU, PTFE puro ou carregado, NBR e FKM, dimensionadas conforme pressão, velocidade, fluido e temperatura</x:v>
      </x:c>
      <x:c r="P246" s="43" t="str">
        <x:v>apoiar reformas e montagens com peças não padronizadas, reposições antigas e fabricação rápida por amostra ou desenho</x:v>
      </x:c>
      <x:c r="Q246" s="43" t="str">
        <x:v>Segmento da base: Hidráulica/Vedações; localização: Manaus/AM; contexto industrial regional usado apenas como hipótese comercial. Fonte pública associada à empresa. Nenhuma afirmação sobre clientes ou aplicações específicas da empresa foi feita sem fonte.</x:v>
      </x:c>
      <x:c r="R246" s="43" t="str">
        <x:v>Moderada</x:v>
      </x:c>
      <x:c r="S246" s="43" t="str">
        <x:v>Sim</x:v>
      </x:c>
      <x:c r="T246" s="43" t="str">
        <x:v>Apoio em cilindros e medidas fora de catálogo</x:v>
      </x:c>
      <x:c r="U246" s="43" t="str">
        <x:v>Olá, equipe da AM Soluções Industriais,</x:v>
      </x:c>
      <x:c r="V246" s="43" t="str">
        <x:v>Olá, equipe da AM Soluções Industriais,
Ao analisar o perfil da AM Soluções Industriais em Manaus, identifiquei uma possibilidade de parceria para demandas de vedação que não se encaixam bem em linhas padronizadas.
Em Manaus/AM, cadeias como eletroeletrônico, duas rodas, plástico, bebidas e manutenção do Polo Industrial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PTFE, PU, NBR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246" s="43" t="str">
        <x:v>Olá, equipe da AM Soluções Industriais,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246" s="43" t="str">
        <x:v>Olá, equipe da AM Soluções Industriais,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46" s="43" t="str">
        <x:v>Há cilindros ou equipamentos para os quais vocês têm dificuldade de localizar a vedação correta ou cumprir o prazo do cliente?</x:v>
      </x:c>
      <x:c r="Z246" s="43" t="str">
        <x:v>Este contato foi direcionado a um canal corporativo público por possível aderência entre as atividades das empresas. Para não receber novas mensagens da Parts Seals, responda com REMOVER.</x:v>
      </x:c>
      <x:c r="AA246" s="43" t="str">
        <x:v>Aguardando aprovação</x:v>
      </x:c>
      <x:c r="AB246" s="43" t="str">
        <x:v>Não</x:v>
      </x:c>
      <x:c r="AC246" s="44"/>
      <x:c r="AD246" s="44"/>
      <x:c r="AE246" s="44"/>
      <x:c r="AF246" s="44"/>
      <x:c r="AG246" s="43"/>
      <x:c r="AH246" s="43"/>
      <x:c r="AI246" s="43" t="str">
        <x:v>Não</x:v>
      </x:c>
      <x:c r="AJ246" s="43"/>
      <x:c r="AK246" s="43"/>
      <x:c r="AL246" s="43" t="str">
        <x:v>https://perfildaindustria.portaldaindustria.com.br/estado/tudo/am</x:v>
      </x:c>
      <x:c r="AM246" s="43" t="str">
        <x:v>https://pesquisaempresas.com.br/consultando-empresa/22809239000140-am-solucoes-industriais-ltda</x:v>
      </x:c>
      <x:c r="AN246" s="43" t="str">
        <x:v>Pesquise a empresa AM Soluções Industriais, de Manaus/AM,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46" s="43" t="str">
        <x:v>2026-07-24 v1</x:v>
      </x:c>
    </x:row>
    <x:row r="247" ht="72" customHeight="1">
      <x:c r="A247" s="43" t="n">
        <x:v>246</x:v>
      </x:c>
      <x:c r="B247" s="43" t="str">
        <x:v>ATD Vedações</x:v>
      </x:c>
      <x:c r="C247" s="43" t="str">
        <x:v>Vedações</x:v>
      </x:c>
      <x:c r="D247" s="43" t="str">
        <x:v>Manaus</x:v>
      </x:c>
      <x:c r="E247" s="43" t="str">
        <x:v>AM</x:v>
      </x:c>
      <x:c r="F247" s="43" t="str">
        <x:v>Norte</x:v>
      </x:c>
      <x:c r="G247" s="43" t="str">
        <x:v>A - Alta</x:v>
      </x:c>
      <x:c r="H247" s="43" t="str">
        <x:v>Não contatado</x:v>
      </x:c>
      <x:c r="I247" s="43" t="str">
        <x:v>atdveda@hotmail.com</x:v>
      </x:c>
      <x:c r="J247" s="43" t="str">
        <x:v>https://www.atdvedacoes.com.br/produto/anel-oring-em-viton-2/</x:v>
      </x:c>
      <x:c r="K247" s="43" t="str">
        <x:v>Sim</x:v>
      </x:c>
      <x:c r="L247" s="43" t="str">
        <x:v>especialista ou revenda de vedações industriais</x:v>
      </x:c>
      <x:c r="M247" s="43" t="str">
        <x:v>eletroeletrônico, duas rodas, plástico, bebidas e manutenção do Polo Industrial</x:v>
      </x:c>
      <x:c r="N247" s="43" t="str">
        <x:v>gaxetas, raspadores, anéis guia, vedações de haste e pistão, retentores especiais e reposições fora de linha</x:v>
      </x:c>
      <x:c r="O247" s="43" t="str">
        <x:v>peças sob medida em PTFE puro ou carregado, poliuretano, NBR, FKM, nylon e outros materiais técnicos</x:v>
      </x:c>
      <x:c r="P247" s="43" t="str">
        <x:v>complementar o portfólio com itens especiais, pequenas e médias séries, urgências e fabricação por desenho ou amostra</x:v>
      </x:c>
      <x:c r="Q247" s="43" t="str">
        <x:v>Segmento da base: Vedações; localização: Manaus/AM; contexto industrial regional usado apenas como hipótese comercial. Fonte pública associada à empresa. Nenhuma afirmação sobre clientes ou aplicações específicas da empresa foi feita sem fonte.</x:v>
      </x:c>
      <x:c r="R247" s="43" t="str">
        <x:v>Moderada</x:v>
      </x:c>
      <x:c r="S247" s="43" t="str">
        <x:v>Sim</x:v>
      </x:c>
      <x:c r="T247" s="43" t="str">
        <x:v>Apoio em vedações sob medida para a ATD Vedações</x:v>
      </x:c>
      <x:c r="U247" s="43" t="str">
        <x:v>Olá, equipe da ATD Vedações,</x:v>
      </x:c>
      <x:c r="V247" s="43" t="str">
        <x:v>Olá, equipe da ATD Vedações,
A Parts Seals está ampliando parcerias com empresas técnicas do setor, e o perfil da ATD Vedações chamou nossa atenção pela atuação em vedações.
Em Manaus/AM, cadeias como eletroeletrônico, duas rodas, plástico, bebidas e manutenção do Polo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PU,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47" s="43" t="str">
        <x:v>Olá, equipe da ATD Vedações,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47" s="43" t="str">
        <x:v>Olá, equipe da ATD Vedações,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47" s="43" t="str">
        <x:v>Vocês recebem consultas de peças especiais que acabam sem atendimento por prazo, material, quantidade ou ausência de desenho?</x:v>
      </x:c>
      <x:c r="Z247" s="43" t="str">
        <x:v>Este contato foi direcionado a um canal corporativo público por possível aderência entre as atividades das empresas. Para não receber novas mensagens da Parts Seals, responda com REMOVER.</x:v>
      </x:c>
      <x:c r="AA247" s="43" t="str">
        <x:v>Aguardando aprovação</x:v>
      </x:c>
      <x:c r="AB247" s="43" t="str">
        <x:v>Não</x:v>
      </x:c>
      <x:c r="AC247" s="44"/>
      <x:c r="AD247" s="44"/>
      <x:c r="AE247" s="44"/>
      <x:c r="AF247" s="44"/>
      <x:c r="AG247" s="43"/>
      <x:c r="AH247" s="43"/>
      <x:c r="AI247" s="43" t="str">
        <x:v>Não</x:v>
      </x:c>
      <x:c r="AJ247" s="43"/>
      <x:c r="AK247" s="43"/>
      <x:c r="AL247" s="43" t="str">
        <x:v>https://perfildaindustria.portaldaindustria.com.br/estado/tudo/am</x:v>
      </x:c>
      <x:c r="AM247" s="43" t="str">
        <x:v>https://www.atdvedacoes.com.br/produto/anel-oring-em-viton-2/</x:v>
      </x:c>
      <x:c r="AN247" s="43" t="str">
        <x:v>Pesquise a empresa ATD Vedações, de Manaus/AM,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47" s="43" t="str">
        <x:v>2026-07-24 v1</x:v>
      </x:c>
    </x:row>
    <x:row r="248" ht="72" customHeight="1">
      <x:c r="A248" s="43" t="n">
        <x:v>247</x:v>
      </x:c>
      <x:c r="B248" s="43" t="str">
        <x:v>AmazonVED</x:v>
      </x:c>
      <x:c r="C248" s="43" t="str">
        <x:v>Vedações</x:v>
      </x:c>
      <x:c r="D248" s="43" t="str">
        <x:v>Manaus</x:v>
      </x:c>
      <x:c r="E248" s="43" t="str">
        <x:v>AM</x:v>
      </x:c>
      <x:c r="F248" s="43" t="str">
        <x:v>Norte</x:v>
      </x:c>
      <x:c r="G248" s="43" t="str">
        <x:v>C - Baixa</x:v>
      </x:c>
      <x:c r="H248" s="43" t="str">
        <x:v>Não contatado</x:v>
      </x:c>
      <x:c r="I248" s="43"/>
      <x:c r="J248" s="43" t="str">
        <x:v>Não localizado em fonte pública confiável até 24/07/2026</x:v>
      </x:c>
      <x:c r="K248" s="43" t="str">
        <x:v>Não</x:v>
      </x:c>
      <x:c r="L248" s="43" t="str">
        <x:v>especialista ou revenda de vedações industriais</x:v>
      </x:c>
      <x:c r="M248" s="43" t="str">
        <x:v>eletroeletrônico, duas rodas, plástico, bebidas e manutenção do Polo Industrial</x:v>
      </x:c>
      <x:c r="N248" s="43" t="str">
        <x:v>gaxetas, raspadores, anéis guia, vedações de haste e pistão, retentores especiais e reposições fora de linha</x:v>
      </x:c>
      <x:c r="O248" s="43" t="str">
        <x:v>peças sob medida em PTFE puro ou carregado, poliuretano, NBR, FKM, nylon e outros materiais técnicos</x:v>
      </x:c>
      <x:c r="P248" s="43" t="str">
        <x:v>complementar o portfólio com itens especiais, pequenas e médias séries, urgências e fabricação por desenho ou amostra</x:v>
      </x:c>
      <x:c r="Q248" s="43" t="str">
        <x:v>Segmento da base: Vedações; localização: Manaus/AM; contexto industrial regional usado apenas como hipótese comercial. Sem e-mail público localizado. Nenhuma afirmação sobre clientes ou aplicações específicas da empresa foi feita sem fonte.</x:v>
      </x:c>
      <x:c r="R248" s="43" t="str">
        <x:v>Baixa</x:v>
      </x:c>
      <x:c r="S248" s="43" t="str">
        <x:v>Sim</x:v>
      </x:c>
      <x:c r="T248" s="43" t="str">
        <x:v>Demandas fora de catálogo na AmazonVED</x:v>
      </x:c>
      <x:c r="U248" s="43" t="str">
        <x:v>Olá, equipe da AmazonVED,</x:v>
      </x:c>
      <x:c r="V248" s="43" t="str">
        <x:v>Olá, equipe da AmazonVED,
Gostaria de apresentar uma possibilidade de apoio complementar à AmazonVED para peças especiais, urgências e reposições fora de catálogo.
Em Manaus/AM, cadeias como eletroeletrônico, duas rodas, plástico, bebidas e manutenção do Polo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PU,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48" s="43" t="str">
        <x:v>Olá, equipe da AmazonVED,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48" s="43" t="str">
        <x:v>Olá, equipe da AmazonVED,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48" s="43" t="str">
        <x:v>Vocês recebem consultas de peças especiais que acabam sem atendimento por prazo, material, quantidade ou ausência de desenho?</x:v>
      </x:c>
      <x:c r="Z248" s="43" t="str">
        <x:v>Este contato foi direcionado a um canal corporativo público por possível aderência entre as atividades das empresas. Para não receber novas mensagens da Parts Seals, responda com REMOVER.</x:v>
      </x:c>
      <x:c r="AA248" s="43" t="str">
        <x:v>Sem e-mail</x:v>
      </x:c>
      <x:c r="AB248" s="43" t="str">
        <x:v>Não</x:v>
      </x:c>
      <x:c r="AC248" s="44"/>
      <x:c r="AD248" s="44"/>
      <x:c r="AE248" s="44"/>
      <x:c r="AF248" s="44"/>
      <x:c r="AG248" s="43"/>
      <x:c r="AH248" s="43"/>
      <x:c r="AI248" s="43" t="str">
        <x:v>Não</x:v>
      </x:c>
      <x:c r="AJ248" s="43"/>
      <x:c r="AK248" s="43"/>
      <x:c r="AL248" s="43" t="str">
        <x:v>https://perfildaindustria.portaldaindustria.com.br/estado/tudo/am</x:v>
      </x:c>
      <x:c r="AM248" s="43" t="str">
        <x:v>Não localizado em fonte pública confiável até 24/07/2026</x:v>
      </x:c>
      <x:c r="AN248" s="43" t="str">
        <x:v>Pesquise a empresa AmazonVED, de Manaus/AM,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48" s="43" t="str">
        <x:v>2026-07-24 v1</x:v>
      </x:c>
    </x:row>
    <x:row r="249" ht="72" customHeight="1">
      <x:c r="A249" s="43" t="n">
        <x:v>248</x:v>
      </x:c>
      <x:c r="B249" s="43" t="str">
        <x:v>Casa dos Retentores RM de Moura</x:v>
      </x:c>
      <x:c r="C249" s="43" t="str">
        <x:v>Vedações</x:v>
      </x:c>
      <x:c r="D249" s="43" t="str">
        <x:v>Manaus</x:v>
      </x:c>
      <x:c r="E249" s="43" t="str">
        <x:v>AM</x:v>
      </x:c>
      <x:c r="F249" s="43" t="str">
        <x:v>Norte</x:v>
      </x:c>
      <x:c r="G249" s="43" t="str">
        <x:v>A - Alta</x:v>
      </x:c>
      <x:c r="H249" s="43" t="str">
        <x:v>Não contatado</x:v>
      </x:c>
      <x:c r="I249" s="43"/>
      <x:c r="J249" s="43" t="str">
        <x:v>Não localizado em fonte pública confiável até 24/07/2026</x:v>
      </x:c>
      <x:c r="K249" s="43" t="str">
        <x:v>Não</x:v>
      </x:c>
      <x:c r="L249" s="43" t="str">
        <x:v>especialista ou revenda de vedações industriais</x:v>
      </x:c>
      <x:c r="M249" s="43" t="str">
        <x:v>eletroeletrônico, duas rodas, plástico, bebidas e manutenção do Polo Industrial</x:v>
      </x:c>
      <x:c r="N249" s="43" t="str">
        <x:v>gaxetas, raspadores, anéis guia, vedações de haste e pistão, retentores especiais e reposições fora de linha</x:v>
      </x:c>
      <x:c r="O249" s="43" t="str">
        <x:v>peças sob medida em PTFE puro ou carregado, poliuretano, NBR, FKM, nylon e outros materiais técnicos</x:v>
      </x:c>
      <x:c r="P249" s="43" t="str">
        <x:v>complementar o portfólio com itens especiais, pequenas e médias séries, urgências e fabricação por desenho ou amostra</x:v>
      </x:c>
      <x:c r="Q249" s="43" t="str">
        <x:v>Segmento da base: Vedações; localização: Manaus/AM; contexto industrial regional usado apenas como hipótese comercial. Sem e-mail público localizado. Nenhuma afirmação sobre clientes ou aplicações específicas da empresa foi feita sem fonte.</x:v>
      </x:c>
      <x:c r="R249" s="43" t="str">
        <x:v>Baixa</x:v>
      </x:c>
      <x:c r="S249" s="43" t="str">
        <x:v>Sim</x:v>
      </x:c>
      <x:c r="T249" s="43" t="str">
        <x:v>Peças especiais para complementar o atendimento da Casa dos Retentores RM de Moura</x:v>
      </x:c>
      <x:c r="U249" s="43" t="str">
        <x:v>Olá, equipe da Casa dos Retentores RM de Moura,</x:v>
      </x:c>
      <x:c r="V249" s="43" t="str">
        <x:v>Olá, equipe da Casa dos Retentores RM de Moura,
Estou entrando em contato porque a atuação da Casa dos Retentores RM de Moura em vedações tem boa aderência ao tipo de fabricação especial que realizamos na Parts Seals.
Em Manaus/AM, cadeias como eletroeletrônico, duas rodas, plástico, bebidas e manutenção do Polo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PU,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49" s="43" t="str">
        <x:v>Olá, equipe da Casa dos Retentores RM de Moura,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49" s="43" t="str">
        <x:v>Olá, equipe da Casa dos Retentores RM de Moura,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49" s="43" t="str">
        <x:v>Vocês recebem consultas de peças especiais que acabam sem atendimento por prazo, material, quantidade ou ausência de desenho?</x:v>
      </x:c>
      <x:c r="Z249" s="43" t="str">
        <x:v>Este contato foi direcionado a um canal corporativo público por possível aderência entre as atividades das empresas. Para não receber novas mensagens da Parts Seals, responda com REMOVER.</x:v>
      </x:c>
      <x:c r="AA249" s="43" t="str">
        <x:v>Sem e-mail</x:v>
      </x:c>
      <x:c r="AB249" s="43" t="str">
        <x:v>Não</x:v>
      </x:c>
      <x:c r="AC249" s="44"/>
      <x:c r="AD249" s="44"/>
      <x:c r="AE249" s="44"/>
      <x:c r="AF249" s="44"/>
      <x:c r="AG249" s="43"/>
      <x:c r="AH249" s="43"/>
      <x:c r="AI249" s="43" t="str">
        <x:v>Não</x:v>
      </x:c>
      <x:c r="AJ249" s="43"/>
      <x:c r="AK249" s="43"/>
      <x:c r="AL249" s="43" t="str">
        <x:v>https://perfildaindustria.portaldaindustria.com.br/estado/tudo/am</x:v>
      </x:c>
      <x:c r="AM249" s="43" t="str">
        <x:v>Não localizado em fonte pública confiável até 24/07/2026</x:v>
      </x:c>
      <x:c r="AN249" s="43" t="str">
        <x:v>Pesquise a empresa Casa dos Retentores RM de Moura, de Manaus/AM,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49" s="43" t="str">
        <x:v>2026-07-24 v1</x:v>
      </x:c>
    </x:row>
    <x:row r="250" ht="72" customHeight="1">
      <x:c r="A250" s="43" t="n">
        <x:v>249</x:v>
      </x:c>
      <x:c r="B250" s="43" t="str">
        <x:v>Rei das Mangueiras Ind. e Com.</x:v>
      </x:c>
      <x:c r="C250" s="43" t="str">
        <x:v>Hidráulica/Vedações</x:v>
      </x:c>
      <x:c r="D250" s="43" t="str">
        <x:v>Manaus</x:v>
      </x:c>
      <x:c r="E250" s="43" t="str">
        <x:v>AM</x:v>
      </x:c>
      <x:c r="F250" s="43" t="str">
        <x:v>Norte</x:v>
      </x:c>
      <x:c r="G250" s="43" t="str">
        <x:v>A - Alta</x:v>
      </x:c>
      <x:c r="H250" s="43" t="str">
        <x:v>Não contatado</x:v>
      </x:c>
      <x:c r="I250" s="43" t="str">
        <x:v>vendas@reidasmangueiras.com.br</x:v>
      </x:c>
      <x:c r="J250" s="43" t="str">
        <x:v>https://reidasmangueiras.com.br/</x:v>
      </x:c>
      <x:c r="K250" s="43" t="str">
        <x:v>Sim</x:v>
      </x:c>
      <x:c r="L250" s="43" t="str">
        <x:v>fornecedor de componentes hidráulicos e vedações</x:v>
      </x:c>
      <x:c r="M250" s="43" t="str">
        <x:v>eletroeletrônico, duas rodas, plástico, bebidas e manutenção do Polo Industrial</x:v>
      </x:c>
      <x:c r="N250" s="43" t="str">
        <x:v>gaxetas de haste e pistão, raspadores, anéis guia, vedações rotativas e kits para cilindros hidráulicos</x:v>
      </x:c>
      <x:c r="O250" s="43" t="str">
        <x:v>vedações em PU, PTFE puro ou carregado, NBR e FKM, dimensionadas conforme pressão, velocidade, fluido e temperatura</x:v>
      </x:c>
      <x:c r="P250" s="43" t="str">
        <x:v>apoiar reformas e montagens com peças não padronizadas, reposições antigas e fabricação rápida por amostra ou desenho</x:v>
      </x:c>
      <x:c r="Q250" s="43" t="str">
        <x:v>Segmento da base: Hidráulica/Vedações; localização: Manaus/AM; contexto industrial regional usado apenas como hipótese comercial. Domínio do e-mail coincide com a fonte oficial. Nenhuma afirmação sobre clientes ou aplicações específicas da empresa foi feita sem fonte.</x:v>
      </x:c>
      <x:c r="R250" s="43" t="str">
        <x:v>Alta</x:v>
      </x:c>
      <x:c r="S250" s="43" t="str">
        <x:v>Recomendada</x:v>
      </x:c>
      <x:c r="T250" s="43" t="str">
        <x:v>Apoio em cilindros e medidas fora de catálogo</x:v>
      </x:c>
      <x:c r="U250" s="43" t="str">
        <x:v>Olá, equipe da Rei das Mangueiras Ind. e Com.,</x:v>
      </x:c>
      <x:c r="V250" s="43" t="str">
        <x:v>Olá, equipe da Rei das Mangueiras Ind. e Com.,
Ao analisar o perfil da Rei das Mangueiras Ind. e Com. em Manaus, identifiquei uma possibilidade de parceria para demandas de vedação que não se encaixam bem em linhas padronizadas.
Em Manaus/AM, cadeias como eletroeletrônico, duas rodas, plástico, bebidas e manutenção do Polo Industrial costumam gerar solicitações de vedações especiais, principalmente quando há pressão, desgaste, ataque químico, temperatura ou dificuldade de reposição. Para o perfil de fornecedor de componentes hidráulicos e vedações, vemos maior aderência em gaxetas de haste e pistão, raspadores, anéis guia, vedações rotativas e kits para cilindros hidráulicos.
A Parts Seals pode apoiar com vedações em PU, PTFE puro ou carregado, NBR e FKM, dimensionadas conforme pressão, velocidade, fluido e temperatura. A seleção final do material é validada conforme a aplicação; para as demandas mais comuns da região, vale avaliar especialmente PTFE, PU, NBR e FKM. Nosso objetivo é apoiar reformas e montagens com peças não padronizadas, reposições antigas e fabricação rápida por amostra ou desenho.
Há cilindros ou equipamentos para os quais vocês têm dificuldade de localizar a vedação correta ou cumprir o prazo do cliente?
Posso encaminhar uma apresentação curta ou avaliar um item real, sem compromisso?
Atenciosamente,
{{NOME_REMETENTE}}
Parts Seals Vedações Industriais
{{TELEFONE_REMETENTE}} | {{SITE_REMETENTE}}</x:v>
      </x:c>
      <x:c r="W250" s="43" t="str">
        <x:v>Olá, equipe da Rei das Mangueiras Ind. e Com.,
Retomando meu contato: pelo perfil de hidráulica/vedações de vocês, acredito que podemos apoiar principalmente em gaxetas de haste e pistão, raspadores, anéis guia, vedações rotativas e kits para cilindros hidráulicos.
Se tiverem uma medida, desenho ou foto de um item difícil de localizar, podemos fazer uma análise inicial e indicar o material mais adequado. Há algum caso em aberto que possamos avaliar?
Atenciosamente,
{{NOME_REMETENTE}}
Parts Seals Vedações Industriais</x:v>
      </x:c>
      <x:c r="X250" s="43" t="str">
        <x:v>Olá, equipe da Rei das Mangueiras Ind. e Com.,
Encerrando meu contato para não insistir. Caso surja alguma demanda de gaxetas de haste e pistão, raspadores, anéis guia, vedações rotativas e kits para cilindros hidráulicos,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50" s="43" t="str">
        <x:v>Há cilindros ou equipamentos para os quais vocês têm dificuldade de localizar a vedação correta ou cumprir o prazo do cliente?</x:v>
      </x:c>
      <x:c r="Z250" s="43" t="str">
        <x:v>Este contato foi direcionado a um canal corporativo público por possível aderência entre as atividades das empresas. Para não receber novas mensagens da Parts Seals, responda com REMOVER.</x:v>
      </x:c>
      <x:c r="AA250" s="43" t="str">
        <x:v>Aguardando aprovação</x:v>
      </x:c>
      <x:c r="AB250" s="43" t="str">
        <x:v>Não</x:v>
      </x:c>
      <x:c r="AC250" s="44"/>
      <x:c r="AD250" s="44"/>
      <x:c r="AE250" s="44"/>
      <x:c r="AF250" s="44"/>
      <x:c r="AG250" s="43"/>
      <x:c r="AH250" s="43"/>
      <x:c r="AI250" s="43" t="str">
        <x:v>Não</x:v>
      </x:c>
      <x:c r="AJ250" s="43"/>
      <x:c r="AK250" s="43"/>
      <x:c r="AL250" s="43" t="str">
        <x:v>https://perfildaindustria.portaldaindustria.com.br/estado/tudo/am</x:v>
      </x:c>
      <x:c r="AM250" s="43" t="str">
        <x:v>https://reidasmangueiras.com.br/</x:v>
      </x:c>
      <x:c r="AN250" s="43" t="str">
        <x:v>Pesquise a empresa Rei das Mangueiras Ind. e Com., de Manaus/AM,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50" s="43" t="str">
        <x:v>2026-07-24 v1</x:v>
      </x:c>
    </x:row>
    <x:row r="251" ht="72" customHeight="1">
      <x:c r="A251" s="43" t="n">
        <x:v>250</x:v>
      </x:c>
      <x:c r="B251" s="43" t="str">
        <x:v>Vedações Manaus</x:v>
      </x:c>
      <x:c r="C251" s="43" t="str">
        <x:v>Vedações</x:v>
      </x:c>
      <x:c r="D251" s="43" t="str">
        <x:v>Manaus</x:v>
      </x:c>
      <x:c r="E251" s="43" t="str">
        <x:v>AM</x:v>
      </x:c>
      <x:c r="F251" s="43" t="str">
        <x:v>Norte</x:v>
      </x:c>
      <x:c r="G251" s="43" t="str">
        <x:v>A - Alta</x:v>
      </x:c>
      <x:c r="H251" s="43" t="str">
        <x:v>Não contatado</x:v>
      </x:c>
      <x:c r="I251" s="43" t="str">
        <x:v>vedacoesmanaus@veloxmail.com.br</x:v>
      </x:c>
      <x:c r="J251" s="43" t="str">
        <x:v>https://guiamanaus.com.br/clientes/visualizar/3015</x:v>
      </x:c>
      <x:c r="K251" s="43" t="str">
        <x:v>Sim</x:v>
      </x:c>
      <x:c r="L251" s="43" t="str">
        <x:v>especialista ou revenda de vedações industriais</x:v>
      </x:c>
      <x:c r="M251" s="43" t="str">
        <x:v>eletroeletrônico, duas rodas, plástico, bebidas e manutenção do Polo Industrial</x:v>
      </x:c>
      <x:c r="N251" s="43" t="str">
        <x:v>gaxetas, raspadores, anéis guia, vedações de haste e pistão, retentores especiais e reposições fora de linha</x:v>
      </x:c>
      <x:c r="O251" s="43" t="str">
        <x:v>peças sob medida em PTFE puro ou carregado, poliuretano, NBR, FKM, nylon e outros materiais técnicos</x:v>
      </x:c>
      <x:c r="P251" s="43" t="str">
        <x:v>complementar o portfólio com itens especiais, pequenas e médias séries, urgências e fabricação por desenho ou amostra</x:v>
      </x:c>
      <x:c r="Q251" s="43" t="str">
        <x:v>Segmento da base: Vedações; localização: Manaus/AM; contexto industrial regional usado apenas como hipótese comercial. Fonte pública associada à empresa. Nenhuma afirmação sobre clientes ou aplicações específicas da empresa foi feita sem fonte.</x:v>
      </x:c>
      <x:c r="R251" s="43" t="str">
        <x:v>Moderada</x:v>
      </x:c>
      <x:c r="S251" s="43" t="str">
        <x:v>Sim</x:v>
      </x:c>
      <x:c r="T251" s="43" t="str">
        <x:v>Apoio em vedações sob medida para a Vedações Manaus</x:v>
      </x:c>
      <x:c r="U251" s="43" t="str">
        <x:v>Olá, equipe da Vedações Manaus,</x:v>
      </x:c>
      <x:c r="V251" s="43" t="str">
        <x:v>Olá, equipe da Vedações Manaus,
A Parts Seals está ampliando parcerias com empresas técnicas do setor, e o perfil da Vedações Manaus chamou nossa atenção pela atuação em vedações.
Em Manaus/AM, cadeias como eletroeletrônico, duas rodas, plástico, bebidas e manutenção do Polo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PTFE, PU,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51" s="43" t="str">
        <x:v>Olá, equipe da Vedações Manaus,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51" s="43" t="str">
        <x:v>Olá, equipe da Vedações Manaus,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51" s="43" t="str">
        <x:v>Vocês recebem consultas de peças especiais que acabam sem atendimento por prazo, material, quantidade ou ausência de desenho?</x:v>
      </x:c>
      <x:c r="Z251" s="43" t="str">
        <x:v>Este contato foi direcionado a um canal corporativo público por possível aderência entre as atividades das empresas. Para não receber novas mensagens da Parts Seals, responda com REMOVER.</x:v>
      </x:c>
      <x:c r="AA251" s="43" t="str">
        <x:v>Aguardando aprovação</x:v>
      </x:c>
      <x:c r="AB251" s="43" t="str">
        <x:v>Não</x:v>
      </x:c>
      <x:c r="AC251" s="44"/>
      <x:c r="AD251" s="44"/>
      <x:c r="AE251" s="44"/>
      <x:c r="AF251" s="44"/>
      <x:c r="AG251" s="43"/>
      <x:c r="AH251" s="43"/>
      <x:c r="AI251" s="43" t="str">
        <x:v>Não</x:v>
      </x:c>
      <x:c r="AJ251" s="43"/>
      <x:c r="AK251" s="43"/>
      <x:c r="AL251" s="43" t="str">
        <x:v>https://perfildaindustria.portaldaindustria.com.br/estado/tudo/am</x:v>
      </x:c>
      <x:c r="AM251" s="43" t="str">
        <x:v>https://guiamanaus.com.br/clientes/visualizar/3015</x:v>
      </x:c>
      <x:c r="AN251" s="43" t="str">
        <x:v>Pesquise a empresa Vedações Manaus, de Manaus/AM,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51" s="43" t="str">
        <x:v>2026-07-24 v1</x:v>
      </x:c>
    </x:row>
    <x:row r="252" ht="72" customHeight="1">
      <x:c r="A252" s="43" t="n">
        <x:v>251</x:v>
      </x:c>
      <x:c r="B252" s="43" t="str">
        <x:v>Fellows Belém Vedações Industriais</x:v>
      </x:c>
      <x:c r="C252" s="43" t="str">
        <x:v>Vedações</x:v>
      </x:c>
      <x:c r="D252" s="43" t="str">
        <x:v>Belém</x:v>
      </x:c>
      <x:c r="E252" s="43" t="str">
        <x:v>PA</x:v>
      </x:c>
      <x:c r="F252" s="43" t="str">
        <x:v>Norte</x:v>
      </x:c>
      <x:c r="G252" s="43" t="str">
        <x:v>Sem dados - qualificar</x:v>
      </x:c>
      <x:c r="H252" s="43" t="str">
        <x:v>Não contatado</x:v>
      </x:c>
      <x:c r="I252" s="43"/>
      <x:c r="J252" s="43" t="str">
        <x:v>Não localizado em fonte pública confiável até 24/07/2026</x:v>
      </x:c>
      <x:c r="K252" s="43" t="str">
        <x:v>Não</x:v>
      </x:c>
      <x:c r="L252" s="43" t="str">
        <x:v>especialista ou revenda de vedações industriais</x:v>
      </x:c>
      <x:c r="M252" s="43" t="str">
        <x:v>mineração, operações portuárias, alimentos, madeira e manutenção industrial</x:v>
      </x:c>
      <x:c r="N252" s="43" t="str">
        <x:v>gaxetas, raspadores, anéis guia, vedações de haste e pistão, retentores especiais e reposições fora de linha</x:v>
      </x:c>
      <x:c r="O252" s="43" t="str">
        <x:v>peças sob medida em PTFE puro ou carregado, poliuretano, NBR, FKM, nylon e outros materiais técnicos</x:v>
      </x:c>
      <x:c r="P252" s="43" t="str">
        <x:v>complementar o portfólio com itens especiais, pequenas e médias séries, urgências e fabricação por desenho ou amostra</x:v>
      </x:c>
      <x:c r="Q252" s="43" t="str">
        <x:v>Segmento da base: Vedações; localização: Belém/PA; contexto industrial regional usado apenas como hipótese comercial. Sem e-mail público localizado. Nenhuma afirmação sobre clientes ou aplicações específicas da empresa foi feita sem fonte.</x:v>
      </x:c>
      <x:c r="R252" s="43" t="str">
        <x:v>Baixa</x:v>
      </x:c>
      <x:c r="S252" s="43" t="str">
        <x:v>Sim</x:v>
      </x:c>
      <x:c r="T252" s="43" t="str">
        <x:v>Demandas fora de catálogo na Fellows Belém Vedações Industriais</x:v>
      </x:c>
      <x:c r="U252" s="43" t="str">
        <x:v>Olá, equipe da Fellows Belém Vedações Industriais,</x:v>
      </x:c>
      <x:c r="V252" s="43" t="str">
        <x:v>Olá, equipe da Fellows Belém Vedações Industriais,
Gostaria de apresentar uma possibilidade de apoio complementar à Fellows Belém Vedações Industriais para peças especiais, urgências e reposições fora de catálogo.
Em Belém/PA, cadeias como mineração, operações portuárias, alimentos, madeira e manutenção industrial costumam gerar solicitações de vedações especiais, principalmente quando há pressão, desgaste, ataque químico, temperatura ou dificuldade de reposição. Para o perfil de especialista ou revenda de vedações industriais, vemos maior aderência em gaxetas, raspadores, anéis guia, vedações de haste e pistão, retentores especiais e reposições fora de linha.
A Parts Seals pode apoiar com peças sob medida em PTFE puro ou carregado, poliuretano, NBR, FKM, nylon e outros materiais técnicos. A seleção final do material é validada conforme a aplicação; para as demandas mais comuns da região, vale avaliar especialmente PU, PTFE carregado, NBR e FKM. Nosso objetivo é complementar o portfólio com itens especiais, pequenas e médias séries, urgências e fabricação por desenho ou amostra.
Vocês recebem consultas de peças especiais que acabam sem atendimento por prazo, material, quantidade ou ausência de desenho?
Posso encaminhar uma apresentação curta ou avaliar um item real, sem compromisso?
Atenciosamente,
{{NOME_REMETENTE}}
Parts Seals Vedações Industriais
{{TELEFONE_REMETENTE}} | {{SITE_REMETENTE}}</x:v>
      </x:c>
      <x:c r="W252" s="43" t="str">
        <x:v>Olá, equipe da Fellows Belém Vedações Industriais,
Retomando meu contato: pelo perfil de vedações de vocês, acredito que podemos apoiar principalmente em gaxetas, raspadores, anéis guia, vedações de haste e pistão, retentores especiais e reposições fora de linha.
Se tiverem uma medida, desenho ou foto de um item difícil de localizar, podemos fazer uma análise inicial e indicar o material mais adequado. Há algum caso em aberto que possamos avaliar?
Atenciosamente,
{{NOME_REMETENTE}}
Parts Seals Vedações Industriais</x:v>
      </x:c>
      <x:c r="X252" s="43" t="str">
        <x:v>Olá, equipe da Fellows Belém Vedações Industriais,
Encerrando meu contato para não insistir. Caso surja alguma demanda de gaxetas, raspadores, anéis guia, vedações de haste e pistão, retentores especiais e reposições fora de linha, a Parts Seals fica à disposição para fabricar por desenho ou amostra, inclusive em pequenas e médias quantidades.
Se fizer sentido, responda apenas com “apresentação” e eu encaminho nosso material. Caso não seja um tema para vocês, também posso retirar o contato da nossa lista.
Atenciosamente,
{{NOME_REMETENTE}}
Parts Seals Vedações Industriais</x:v>
      </x:c>
      <x:c r="Y252" s="43" t="str">
        <x:v>Vocês recebem consultas de peças especiais que acabam sem atendimento por prazo, material, quantidade ou ausência de desenho?</x:v>
      </x:c>
      <x:c r="Z252" s="43" t="str">
        <x:v>Este contato foi direcionado a um canal corporativo público por possível aderência entre as atividades das empresas. Para não receber novas mensagens da Parts Seals, responda com REMOVER.</x:v>
      </x:c>
      <x:c r="AA252" s="43" t="str">
        <x:v>Sem e-mail</x:v>
      </x:c>
      <x:c r="AB252" s="43" t="str">
        <x:v>Não</x:v>
      </x:c>
      <x:c r="AC252" s="44"/>
      <x:c r="AD252" s="44"/>
      <x:c r="AE252" s="44"/>
      <x:c r="AF252" s="44"/>
      <x:c r="AG252" s="43"/>
      <x:c r="AH252" s="43"/>
      <x:c r="AI252" s="43" t="str">
        <x:v>Não</x:v>
      </x:c>
      <x:c r="AJ252" s="43"/>
      <x:c r="AK252" s="43"/>
      <x:c r="AL252" s="43" t="str">
        <x:v>https://perfildaindustria.portaldaindustria.com.br/estado/tudo/pa | https://ibram.org.br/</x:v>
      </x:c>
      <x:c r="AM252" s="43" t="str">
        <x:v>Não localizado em fonte pública confiável até 24/07/2026</x:v>
      </x:c>
      <x:c r="AN252" s="43" t="str">
        <x:v>Pesquise a empresa Fellows Belém Vedações Industriais, de Belém/PA, usando primeiro o site oficial. Confirme produtos, mercados atendidos e aplicações. Não confunda homônimos. Retorne: descrição objetiva, 3 produtos/serviços, 3 mercados, 1 gancho comercial para a Parts Seals, URLs e nível de confiança. Não invente informações e marque o que for inferência.</x:v>
      </x:c>
      <x:c r="AO252" s="43" t="str">
        <x:v>2026-07-24 v1</x:v>
      </x:c>
    </x:row>
  </x:sheetData>
  <x:conditionalFormatting sqref="R2:R252">
    <x:cfRule type="expression" dxfId="0" priority="1">
      <x:formula>R2="Alta"</x:formula>
    </x:cfRule>
    <x:cfRule type="expression" dxfId="1" priority="2">
      <x:formula>R2="Moderada"</x:formula>
    </x:cfRule>
    <x:cfRule type="expression" dxfId="2" priority="3">
      <x:formula>R2="Baixa"</x:formula>
    </x:cfRule>
  </x:conditionalFormatting>
  <x:conditionalFormatting sqref="AB2:AB252">
    <x:cfRule type="expression" dxfId="3" priority="4">
      <x:formula>AB2="Sim"</x:formula>
    </x:cfRule>
  </x:conditionalFormatting>
  <x:conditionalFormatting sqref="AI2:AI252">
    <x:cfRule type="expression" dxfId="4" priority="5">
      <x:formula>AI2="Sim"</x:formula>
    </x:cfRule>
  </x:conditionalFormatting>
  <x:conditionalFormatting sqref="AA2:AA252">
    <x:cfRule type="expression" dxfId="5" priority="6">
      <x:formula>AA2="Sem e-mail"</x:formula>
    </x:cfRule>
    <x:cfRule type="expression" dxfId="6" priority="7">
      <x:formula>AA2="Respondeu"</x:formula>
    </x:cfRule>
  </x:conditionalFormatting>
  <x:dataValidations count="4">
    <x:dataValidation type="list" sqref="AB2:AB252">
      <x:formula1>"Não,Sim"</x:formula1>
    </x:dataValidation>
    <x:dataValidation type="list" sqref="AI2:AI252">
      <x:formula1>"Não,Sim"</x:formula1>
    </x:dataValidation>
    <x:dataValidation type="list" sqref="AA2:AA252">
      <x:formula1>"Aguardando aprovação,Aprovado,Agendado,Enviado 1,Follow-up 1 enviado,Follow-up 2 enviado,Respondeu,Sem interesse,Opt-out,Bounce,Pausado,Sem e-mail"</x:formula1>
    </x:dataValidation>
    <x:dataValidation type="list" sqref="AH2:AH252">
      <x:formula1>"Interessado,Pediu apresentação,Pediu orçamento,Encaminhou responsável,Sem interesse,Sem demanda agora,Opt-out,Resposta automática,Outro"</x:formula1>
    </x:dataValidation>
  </x:dataValidations>
  <x:pageMargins left="0.7" right="0.7" top="0.75" bottom="0.75" header="0.3" footer="0.3"/>
  <x:tableParts count="1">
    <x:tablePart xmlns:r="http://schemas.openxmlformats.org/officeDocument/2006/relationships" r:id="R4e0cd24b25984507"/>
  </x:tableParts>
</x:worksheet>
</file>

<file path=xl/worksheets/sheet5.xml><?xml version="1.0" encoding="utf-8"?>
<x:worksheet xmlns:x="http://schemas.openxmlformats.org/spreadsheetml/2006/main">
  <x:sheetFormatPr defaultRowHeight="15"/>
  <x:cols>
    <x:col min="1" max="1" width="30" hidden="0" customWidth="1"/>
    <x:col min="2" max="2" width="18" hidden="0" customWidth="1"/>
    <x:col min="4" max="4" width="24" hidden="0" customWidth="1"/>
    <x:col min="5" max="5" width="18" hidden="0" customWidth="1"/>
    <x:col min="3" max="3" width="70" hidden="0" customWidth="1"/>
  </x:cols>
  <x:sheetData>
    <x:row r="1" ht="34" customHeight="1">
      <x:c r="A1" s="47" t="str">
        <x:v>PAINEL DA CAMPANHA DE PROSPECÇÃO</x:v>
      </x:c>
      <x:c r="B1" s="47"/>
      <x:c r="C1" s="47"/>
      <x:c r="D1" s="47"/>
      <x:c r="E1" s="47"/>
      <x:c r="F1" s="47"/>
      <x:c r="G1" s="47"/>
      <x:c r="H1" s="47"/>
    </x:row>
    <x:row r="3">
      <x:c r="A3" s="48" t="str">
        <x:v>Indicador</x:v>
      </x:c>
      <x:c r="B3" s="48" t="str">
        <x:v>Valor</x:v>
      </x:c>
      <x:c r="D3" s="39" t="str">
        <x:v>Confiança</x:v>
      </x:c>
      <x:c r="E3" s="39" t="str">
        <x:v>Quantidade</x:v>
      </x:c>
    </x:row>
    <x:row r="4" ht="22" customHeight="1">
      <x:c r="A4" s="49" t="str">
        <x:v>Total de empresas</x:v>
      </x:c>
      <x:c r="B4" s="49" t="n">
        <x:f>COUNTA(Campanha!B2:B252)</x:f>
        <x:v>251</x:v>
      </x:c>
      <x:c r="D4" t="str">
        <x:v>Alta</x:v>
      </x:c>
      <x:c r="E4" t="n">
        <x:f>COUNTIF(Campanha!R2:R252,"Alta")</x:f>
        <x:v>82</x:v>
      </x:c>
    </x:row>
    <x:row r="5" ht="22" customHeight="1">
      <x:c r="A5" s="49" t="str">
        <x:v>Com e-mail</x:v>
      </x:c>
      <x:c r="B5" s="49" t="n">
        <x:f>COUNTIF(Campanha!K2:K252,"Sim")</x:f>
        <x:v>119</x:v>
      </x:c>
      <x:c r="D5" t="str">
        <x:v>Moderada</x:v>
      </x:c>
      <x:c r="E5" t="n">
        <x:f>COUNTIF(Campanha!R2:R252,"Moderada")</x:f>
        <x:v>37</x:v>
      </x:c>
    </x:row>
    <x:row r="6" ht="22" customHeight="1">
      <x:c r="A6" s="49" t="str">
        <x:v>Sem e-mail</x:v>
      </x:c>
      <x:c r="B6" s="49" t="n">
        <x:f>COUNTIF(Campanha!K2:K252,"Não")</x:f>
        <x:v>132</x:v>
      </x:c>
      <x:c r="D6" t="str">
        <x:v>Baixa</x:v>
      </x:c>
      <x:c r="E6" t="n">
        <x:f>COUNTIF(Campanha!R2:R252,"Baixa")</x:f>
        <x:v>132</x:v>
      </x:c>
    </x:row>
    <x:row r="7" ht="22" customHeight="1">
      <x:c r="A7" s="49" t="str">
        <x:v>Confiança alta</x:v>
      </x:c>
      <x:c r="B7" s="49" t="n">
        <x:f>COUNTIF(Campanha!R2:R252,"Alta")</x:f>
        <x:v>82</x:v>
      </x:c>
    </x:row>
    <x:row r="8" ht="22" customHeight="1">
      <x:c r="A8" s="49" t="str">
        <x:v>Confiança moderada</x:v>
      </x:c>
      <x:c r="B8" s="49" t="n">
        <x:f>COUNTIF(Campanha!R2:R252,"Moderada")</x:f>
        <x:v>37</x:v>
      </x:c>
    </x:row>
    <x:row r="9" ht="22" customHeight="1">
      <x:c r="A9" s="49" t="str">
        <x:v>Aprovados</x:v>
      </x:c>
      <x:c r="B9" s="49" t="n">
        <x:f>COUNTIF(Campanha!AB2:AB252,"Sim")</x:f>
        <x:v>0</x:v>
      </x:c>
      <x:c r="D9" s="39" t="str">
        <x:v>Prioridade</x:v>
      </x:c>
      <x:c r="E9" s="39" t="str">
        <x:v>Com e-mail</x:v>
      </x:c>
    </x:row>
    <x:row r="10" ht="22" customHeight="1">
      <x:c r="A10" s="49" t="str">
        <x:v>Enviados</x:v>
      </x:c>
      <x:c r="B10" s="49" t="n">
        <x:f>COUNTIF(Campanha!AA2:AA252,"Enviado 1")+COUNTIF(Campanha!AA2:AA252,"Follow-up 1 enviado")+COUNTIF(Campanha!AA2:AA252,"Follow-up 2 enviado")+COUNTIF(Campanha!AA2:AA252,"Respondeu")</x:f>
        <x:v>0</x:v>
      </x:c>
      <x:c r="D10" t="str">
        <x:v>A - Alta</x:v>
      </x:c>
      <x:c r="E10" t="n">
        <x:f>COUNTIFS(Campanha!G2:G252,D10,Campanha!K2:K252,"Sim")</x:f>
        <x:v>51</x:v>
      </x:c>
    </x:row>
    <x:row r="11" ht="22" customHeight="1">
      <x:c r="A11" s="49" t="str">
        <x:v>Respostas</x:v>
      </x:c>
      <x:c r="B11" s="49" t="n">
        <x:f>COUNTIF(Campanha!AA2:AA252,"Respondeu")</x:f>
        <x:v>0</x:v>
      </x:c>
      <x:c r="D11" t="str">
        <x:v>B - Média</x:v>
      </x:c>
      <x:c r="E11" t="n">
        <x:f>COUNTIFS(Campanha!G2:G252,D11,Campanha!K2:K252,"Sim")</x:f>
        <x:v>47</x:v>
      </x:c>
    </x:row>
    <x:row r="12" ht="22" customHeight="1">
      <x:c r="A12" s="49" t="str">
        <x:v>Opt-outs</x:v>
      </x:c>
      <x:c r="B12" s="49" t="n">
        <x:f>COUNTIF(Campanha!AI2:AI252,"Sim")</x:f>
        <x:v>0</x:v>
      </x:c>
      <x:c r="D12" t="str">
        <x:v>C - Baixa</x:v>
      </x:c>
      <x:c r="E12" t="n">
        <x:f>COUNTIFS(Campanha!G2:G252,D12,Campanha!K2:K252,"Sim")</x:f>
        <x:v>14</x:v>
      </x:c>
    </x:row>
    <x:row r="13" ht="22" customHeight="1">
      <x:c r="A13" s="49" t="str">
        <x:v>Bounces</x:v>
      </x:c>
      <x:c r="B13" s="49" t="n">
        <x:f>COUNTIF(Campanha!AA2:AA252,"Bounce")</x:f>
        <x:v>0</x:v>
      </x:c>
      <x:c r="D13" t="str">
        <x:v>Sem dados - qualificar</x:v>
      </x:c>
      <x:c r="E13" t="n">
        <x:f>COUNTIFS(Campanha!G2:G252,D13,Campanha!K2:K252,"Sim")</x:f>
        <x:v>7</x:v>
      </x:c>
    </x:row>
    <x:row r="16">
      <x:c r="A16" s="39" t="str">
        <x:v>FLUXO RECOMENDADO</x:v>
      </x:c>
      <x:c r="B16" s="39"/>
      <x:c r="C16" s="39"/>
      <x:c r="D16" s="39"/>
      <x:c r="E16" s="39"/>
      <x:c r="F16" s="39"/>
      <x:c r="G16" s="39"/>
      <x:c r="H16" s="39"/>
    </x:row>
    <x:row r="17" ht="42" customHeight="1">
      <x:c r="A17" s="55" t="str">
        <x:v>1</x:v>
      </x:c>
      <x:c r="B17" s="50" t="str">
        <x:v>Revisar</x:v>
      </x:c>
      <x:c r="C17" s="50" t="str">
        <x:v>Confirmar empresa, fonte, assunto e texto. Não aprovar afirmações sem fonte.</x:v>
      </x:c>
    </x:row>
    <x:row r="18" ht="42" customHeight="1">
      <x:c r="A18" s="55" t="str">
        <x:v>2</x:v>
      </x:c>
      <x:c r="B18" s="50" t="str">
        <x:v>Enviar teste</x:v>
      </x:c>
      <x:c r="C18" s="50" t="str">
        <x:v>Enviar para uma caixa interna e conferir assinatura, links e quebra de linhas.</x:v>
      </x:c>
    </x:row>
    <x:row r="19" ht="42" customHeight="1">
      <x:c r="A19" s="55" t="str">
        <x:v>3</x:v>
      </x:c>
      <x:c r="B19" s="50" t="str">
        <x:v>Piloto</x:v>
      </x:c>
      <x:c r="C19" s="50" t="str">
        <x:v>Aprovar 10 a 20 empresas de alta confiança, com no máximo 5 envios por hora.</x:v>
      </x:c>
    </x:row>
    <x:row r="20" ht="42" customHeight="1">
      <x:c r="A20" s="55" t="str">
        <x:v>4</x:v>
      </x:c>
      <x:c r="B20" s="50" t="str">
        <x:v>Medir</x:v>
      </x:c>
      <x:c r="C20" s="50" t="str">
        <x:v>Acompanhar respostas, bounces, denúncias e pedidos de remoção.</x:v>
      </x:c>
    </x:row>
    <x:row r="21" ht="42" customHeight="1">
      <x:c r="A21" s="55" t="str">
        <x:v>5</x:v>
      </x:c>
      <x:c r="B21" s="50" t="str">
        <x:v>Escalar</x:v>
      </x:c>
      <x:c r="C21" s="50" t="str">
        <x:v>Aumentar gradualmente o volume apenas se a reputação e as respostas estiverem saudáveis.</x:v>
      </x:c>
    </x:row>
  </x:sheetData>
  <x:mergeCells>
    <x:mergeCell ref="A16:H16"/>
    <x:mergeCell ref="A1:E1"/>
  </x:mergeCells>
  <x:conditionalFormatting sqref="D4:E6">
    <x:cfRule type="colorScale" priority="1">
      <x:colorScale>
        <x:cfvo type="min"/>
        <x:cfvo type="percentile" val="50"/>
        <x:cfvo type="max"/>
        <x:color rgb="FFFEE2E2"/>
        <x:color rgb="FFFEF3C7"/>
        <x:color rgb="FFDCFCE7"/>
      </x:colorScale>
    </x:cfRule>
  </x:conditionalFormatting>
  <x:pageMargins left="0.7" right="0.7" top="0.75" bottom="0.75" header="0.3" footer="0.3"/>
  <x:drawing xmlns:r="http://schemas.openxmlformats.org/officeDocument/2006/relationships" r:id="R0da6edcc57554915"/>
</x:worksheet>
</file>

<file path=xl/worksheets/sheet6.xml><?xml version="1.0" encoding="utf-8"?>
<x:worksheet xmlns:x="http://schemas.openxmlformats.org/spreadsheetml/2006/main">
  <x:sheetFormatPr defaultRowHeight="15"/>
  <x:cols>
    <x:col min="1" max="1" width="32" hidden="0" customWidth="1"/>
    <x:col min="2" max="2" width="28" hidden="0" customWidth="1"/>
    <x:col min="3" max="3" width="65" hidden="0" customWidth="1"/>
  </x:cols>
  <x:sheetData>
    <x:row r="1" ht="28" customHeight="1">
      <x:c r="A1" s="53" t="str">
        <x:v>CONFIGURAÇÃO DA CAMPANHA</x:v>
      </x:c>
      <x:c r="B1" s="53" t="str">
        <x:v>Valor sugerido</x:v>
      </x:c>
      <x:c r="C1" s="53" t="str">
        <x:v>Observação</x:v>
      </x:c>
    </x:row>
    <x:row r="2" ht="28" customHeight="1">
      <x:c r="A2" s="50" t="str">
        <x:v>Nome do remetente</x:v>
      </x:c>
      <x:c r="B2" s="50" t="str">
        <x:v>PREENCHER</x:v>
      </x:c>
      <x:c r="C2" s="50" t="str">
        <x:v>Será inserido em {{NOME_REMETENTE}}</x:v>
      </x:c>
    </x:row>
    <x:row r="3" ht="28" customHeight="1">
      <x:c r="A3" s="50" t="str">
        <x:v>E-mail remetente</x:v>
      </x:c>
      <x:c r="B3" s="50" t="str">
        <x:v>PREENCHER</x:v>
      </x:c>
      <x:c r="C3" s="50" t="str">
        <x:v>Use caixa real no domínio da empresa</x:v>
      </x:c>
    </x:row>
    <x:row r="4" ht="28" customHeight="1">
      <x:c r="A4" s="50" t="str">
        <x:v>Telefone/WhatsApp</x:v>
      </x:c>
      <x:c r="B4" s="50" t="str">
        <x:v>PREENCHER</x:v>
      </x:c>
      <x:c r="C4" s="50" t="str">
        <x:v>Será inserido em {{TELEFONE_REMETENTE}}</x:v>
      </x:c>
    </x:row>
    <x:row r="5" ht="28" customHeight="1">
      <x:c r="A5" s="50" t="str">
        <x:v>Site</x:v>
      </x:c>
      <x:c r="B5" s="50" t="str">
        <x:v>https://parts-seals.com.br</x:v>
      </x:c>
      <x:c r="C5" s="50" t="str">
        <x:v>Confirmar URL final antes do envio</x:v>
      </x:c>
    </x:row>
    <x:row r="6" ht="28" customHeight="1">
      <x:c r="A6" s="50" t="str">
        <x:v>Fuso horário</x:v>
      </x:c>
      <x:c r="B6" s="50" t="str">
        <x:v>America/Sao_Paulo</x:v>
      </x:c>
      <x:c r="C6" s="50" t="str">
        <x:v>Usado pelo agendador</x:v>
      </x:c>
    </x:row>
    <x:row r="7" ht="28" customHeight="1">
      <x:c r="A7" s="50" t="str">
        <x:v>Horário inicial</x:v>
      </x:c>
      <x:c r="B7" s="50" t="str">
        <x:v>08:00</x:v>
      </x:c>
      <x:c r="C7" s="50" t="str">
        <x:v>Somente dias úteis</x:v>
      </x:c>
    </x:row>
    <x:row r="8" ht="28" customHeight="1">
      <x:c r="A8" s="50" t="str">
        <x:v>Horário final</x:v>
      </x:c>
      <x:c r="B8" s="50" t="str">
        <x:v>17:00</x:v>
      </x:c>
      <x:c r="C8" s="50" t="str">
        <x:v>Somente dias úteis</x:v>
      </x:c>
    </x:row>
    <x:row r="9" ht="28" customHeight="1">
      <x:c r="A9" s="50" t="str">
        <x:v>Máximo por dia</x:v>
      </x:c>
      <x:c r="B9" s="50" t="n">
        <x:v>20</x:v>
      </x:c>
      <x:c r="C9" s="50" t="str">
        <x:v>Começar abaixo disso no piloto</x:v>
      </x:c>
    </x:row>
    <x:row r="10" ht="28" customHeight="1">
      <x:c r="A10" s="50" t="str">
        <x:v>Máximo por hora</x:v>
      </x:c>
      <x:c r="B10" s="50" t="n">
        <x:v>5</x:v>
      </x:c>
      <x:c r="C10" s="50" t="str">
        <x:v>Reduz risco de bloqueio</x:v>
      </x:c>
    </x:row>
    <x:row r="11" ht="28" customHeight="1">
      <x:c r="A11" s="50" t="str">
        <x:v>Intervalo mínimo (min)</x:v>
      </x:c>
      <x:c r="B11" s="50" t="n">
        <x:v>8</x:v>
      </x:c>
      <x:c r="C11" s="50" t="str">
        <x:v>Entre mensagens</x:v>
      </x:c>
    </x:row>
    <x:row r="12" ht="28" customHeight="1">
      <x:c r="A12" s="50" t="str">
        <x:v>Follow-up 1 (dias úteis)</x:v>
      </x:c>
      <x:c r="B12" s="50" t="n">
        <x:v>4</x:v>
      </x:c>
      <x:c r="C12" s="50" t="str">
        <x:v>Somente se não houver resposta</x:v>
      </x:c>
    </x:row>
    <x:row r="13" ht="28" customHeight="1">
      <x:c r="A13" s="50" t="str">
        <x:v>Follow-up 2 (dias úteis)</x:v>
      </x:c>
      <x:c r="B13" s="50" t="n">
        <x:v>9</x:v>
      </x:c>
      <x:c r="C13" s="50" t="str">
        <x:v>Contado desde o primeiro envio</x:v>
      </x:c>
    </x:row>
    <x:row r="14" ht="28" customHeight="1">
      <x:c r="A14" s="50" t="str">
        <x:v>Rodapé de remoção</x:v>
      </x:c>
      <x:c r="B14" s="50" t="str">
        <x:v>Responder com REMOVER</x:v>
      </x:c>
      <x:c r="C14" s="50" t="str">
        <x:v>O sistema bloqueará novos contatos</x:v>
      </x:c>
    </x:row>
    <x:row r="15" ht="28" customHeight="1">
      <x:c r="A15" s="50" t="str">
        <x:v>Aprovação humana</x:v>
      </x:c>
      <x:c r="B15" s="50" t="str">
        <x:v>Obrigatória no piloto</x:v>
      </x:c>
      <x:c r="C15" s="50" t="str">
        <x:v>Não iniciar envio automático sem teste</x:v>
      </x:c>
    </x:row>
    <x:row r="16" ht="28" customHeight="1">
      <x:c r="A16" s="50" t="str">
        <x:v>SPF</x:v>
      </x:c>
      <x:c r="B16" s="50" t="str">
        <x:v>PENDENTE</x:v>
      </x:c>
      <x:c r="C16" s="50" t="str">
        <x:v>Validar no DNS</x:v>
      </x:c>
    </x:row>
    <x:row r="17" ht="28" customHeight="1">
      <x:c r="A17" s="50" t="str">
        <x:v>DKIM</x:v>
      </x:c>
      <x:c r="B17" s="50" t="str">
        <x:v>PENDENTE</x:v>
      </x:c>
      <x:c r="C17" s="50" t="str">
        <x:v>Validar no provedor de e-mail</x:v>
      </x:c>
    </x:row>
    <x:row r="18" ht="28" customHeight="1">
      <x:c r="A18" s="50" t="str">
        <x:v>DMARC</x:v>
      </x:c>
      <x:c r="B18" s="50" t="str">
        <x:v>PENDENTE</x:v>
      </x:c>
      <x:c r="C18" s="50" t="str">
        <x:v>Iniciar com política de monitoramento</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36" hidden="0" customWidth="1"/>
    <x:col min="3" max="3" width="55" hidden="0" customWidth="1"/>
    <x:col min="4" max="4" width="55" hidden="0" customWidth="1"/>
    <x:col min="5" max="5" width="55" hidden="0" customWidth="1"/>
    <x:col min="6" max="6" width="55" hidden="0" customWidth="1"/>
  </x:cols>
  <x:sheetData>
    <x:row r="1">
      <x:c r="A1" s="39" t="str">
        <x:v>Segmento</x:v>
      </x:c>
      <x:c r="B1" s="39" t="str">
        <x:v>Perfil</x:v>
      </x:c>
      <x:c r="C1" s="39" t="str">
        <x:v>Aplicações aderentes</x:v>
      </x:c>
      <x:c r="D1" s="39" t="str">
        <x:v>Produtos sugeridos</x:v>
      </x:c>
      <x:c r="E1" s="39" t="str">
        <x:v>Diferencial</x:v>
      </x:c>
      <x:c r="F1" s="39" t="str">
        <x:v>Pergunta/CTA</x:v>
      </x:c>
    </x:row>
    <x:row r="2" ht="78" customHeight="1">
      <x:c r="A2" s="50" t="str">
        <x:v>Fabricante/Vedações</x:v>
      </x:c>
      <x:c r="B2" s="50" t="str">
        <x:v>fabricante ou transformador especializado em vedações</x:v>
      </x:c>
      <x:c r="C2" s="50" t="str">
        <x:v>itens fora de padrão, picos de demanda, protótipos, reposições urgentes e lotes que exigem processo ou material específico</x:v>
      </x:c>
      <x:c r="D2" s="50" t="str">
        <x:v>componentes usinados e moldados em PTFE puro ou carregado, PU, NBR, FKM e materiais técnicos, conforme desenho ou amostra</x:v>
      </x:c>
      <x:c r="E2" s="50" t="str">
        <x:v>atuar como apoio produtivo complementar, preservando a relação comercial de vocês com o cliente final</x:v>
      </x:c>
      <x:c r="F2" s="50" t="str">
        <x:v>Existe hoje algum item especial, urgente ou de baixa quantidade que esteja ocupando capacidade ou ficando sem atendimento?</x:v>
      </x:c>
    </x:row>
    <x:row r="3" ht="78" customHeight="1">
      <x:c r="A3" s="50" t="str">
        <x:v>Vedações</x:v>
      </x:c>
      <x:c r="B3" s="50" t="str">
        <x:v>especialista ou revenda de vedações industriais</x:v>
      </x:c>
      <x:c r="C3" s="50" t="str">
        <x:v>gaxetas, raspadores, anéis guia, vedações de haste e pistão, retentores especiais e reposições fora de linha</x:v>
      </x:c>
      <x:c r="D3" s="50" t="str">
        <x:v>peças sob medida em PTFE puro ou carregado, poliuretano, NBR, FKM, nylon e outros materiais técnicos</x:v>
      </x:c>
      <x:c r="E3" s="50" t="str">
        <x:v>complementar o portfólio com itens especiais, pequenas e médias séries, urgências e fabricação por desenho ou amostra</x:v>
      </x:c>
      <x:c r="F3" s="50" t="str">
        <x:v>Vocês recebem consultas de peças especiais que acabam sem atendimento por prazo, material, quantidade ou ausência de desenho?</x:v>
      </x:c>
    </x:row>
    <x:row r="4" ht="78" customHeight="1">
      <x:c r="A4" s="50" t="str">
        <x:v>Hidráulica/Vedações</x:v>
      </x:c>
      <x:c r="B4" s="50" t="str">
        <x:v>fornecedor de componentes hidráulicos e vedações</x:v>
      </x:c>
      <x:c r="C4" s="50" t="str">
        <x:v>gaxetas de haste e pistão, raspadores, anéis guia, vedações rotativas e kits para cilindros hidráulicos</x:v>
      </x:c>
      <x:c r="D4" s="50" t="str">
        <x:v>vedações em PU, PTFE puro ou carregado, NBR e FKM, dimensionadas conforme pressão, velocidade, fluido e temperatura</x:v>
      </x:c>
      <x:c r="E4" s="50" t="str">
        <x:v>apoiar reformas e montagens com peças não padronizadas, reposições antigas e fabricação rápida por amostra ou desenho</x:v>
      </x:c>
      <x:c r="F4" s="50" t="str">
        <x:v>Há cilindros ou equipamentos para os quais vocês têm dificuldade de localizar a vedação correta ou cumprir o prazo do cliente?</x:v>
      </x:c>
    </x:row>
    <x:row r="5" ht="78" customHeight="1">
      <x:c r="A5" s="50" t="str">
        <x:v>Hidráulica</x:v>
      </x:c>
      <x:c r="B5" s="50" t="str">
        <x:v>fornecedor de soluções hidráulicas</x:v>
      </x:c>
      <x:c r="C5" s="50" t="str">
        <x:v>vedações de cilindros, raspadores, anéis guia, gaxetas e componentes de reposição</x:v>
      </x:c>
      <x:c r="D5" s="50" t="str">
        <x:v>componentes em PU, PTFE, NBR e FKM fabricados conforme alojamento, pressão e fluido</x:v>
      </x:c>
      <x:c r="E5" s="50" t="str">
        <x:v>reduzir a dependência de itens catalogados quando a medida, o material ou o prazo exigem fabricação especial</x:v>
      </x:c>
      <x:c r="F5" s="50" t="str">
        <x:v>Existe algum modelo de cilindro ou equipamento cuja reposição esteja difícil de encontrar no mercado?</x:v>
      </x:c>
    </x:row>
    <x:row r="6" ht="78" customHeight="1">
      <x:c r="A6" s="50" t="str">
        <x:v>Hidráulica/Pneumática</x:v>
      </x:c>
      <x:c r="B6" s="50" t="str">
        <x:v>fornecedor de componentes hidráulicos e pneumáticos</x:v>
      </x:c>
      <x:c r="C6" s="50" t="str">
        <x:v>vedações de haste e pistão, raspadores, anéis guia e itens de baixo atrito</x:v>
      </x:c>
      <x:c r="D6" s="50" t="str">
        <x:v>peças em PU, PTFE, NBR e FKM desenvolvidas para pressão, velocidade e compatibilidade com o fluido</x:v>
      </x:c>
      <x:c r="E6" s="50" t="str">
        <x:v>fornecer medidas especiais e reposições fora de catálogo com fabricação por desenho ou amostra</x:v>
      </x:c>
      <x:c r="F6" s="50" t="str">
        <x:v>Quais itens hidráulicos ou pneumáticos costumam gerar mais dificuldade de reposição para vocês?</x:v>
      </x:c>
    </x:row>
    <x:row r="7" ht="78" customHeight="1">
      <x:c r="A7" s="50" t="str">
        <x:v>Rolamentos/Vedações</x:v>
      </x:c>
      <x:c r="B7" s="50" t="str">
        <x:v>distribuidor de rolamentos, retentores e vedações</x:v>
      </x:c>
      <x:c r="C7" s="50" t="str">
        <x:v>retentores especiais, anéis, vedações rotativas, kits e componentes para manutenção de máquinas</x:v>
      </x:c>
      <x:c r="D7" s="50" t="str">
        <x:v>peças especiais em NBR, FKM, PU e PTFE, inclusive medidas fora de catálogo</x:v>
      </x:c>
      <x:c r="E7" s="50" t="str">
        <x:v>complementar a linha padronizada com reposições especiais e itens descontinuados</x:v>
      </x:c>
      <x:c r="F7" s="50" t="str">
        <x:v>Vocês têm pedidos de retentores ou vedações em medidas especiais que não encontram nos catálogos tradicionais?</x:v>
      </x:c>
    </x:row>
    <x:row r="8" ht="78" customHeight="1">
      <x:c r="A8" s="50" t="str">
        <x:v>Juntas/Vedações</x:v>
      </x:c>
      <x:c r="B8" s="50" t="str">
        <x:v>fornecedor de juntas e vedações técnicas</x:v>
      </x:c>
      <x:c r="C8" s="50" t="str">
        <x:v>juntas planas, anéis, sedes, guias e componentes sujeitos a fluidos, temperatura e ataque químico</x:v>
      </x:c>
      <x:c r="D8" s="50" t="str">
        <x:v>juntas e componentes em PTFE puro ou carregado, NBR, FKM e materiais técnicos, conforme desenho</x:v>
      </x:c>
      <x:c r="E8" s="50" t="str">
        <x:v>atender geometrias especiais, pequenas séries e aplicações em que a seleção correta do material é decisiva</x:v>
      </x:c>
      <x:c r="F8" s="50" t="str">
        <x:v>Há alguma junta ou componente especial que seus clientes pedem e que hoje exige terceirização ou prazo elevado?</x:v>
      </x:c>
    </x:row>
    <x:row r="9" ht="78" customHeight="1">
      <x:c r="A9" s="50" t="str">
        <x:v>Vedações/Kits</x:v>
      </x:c>
      <x:c r="B9" s="50" t="str">
        <x:v>especialista em kits e vedações de reposição</x:v>
      </x:c>
      <x:c r="C9" s="50" t="str">
        <x:v>kits de cilindros, gaxetas, raspadores, anéis guia e peças especiais para manutenção</x:v>
      </x:c>
      <x:c r="D9" s="50" t="str">
        <x:v>componentes em PU, PTFE, NBR e FKM fabricados em medidas especiais</x:v>
      </x:c>
      <x:c r="E9" s="50" t="str">
        <x:v>completar kits quando um componente não está disponível separadamente ou saiu de linha</x:v>
      </x:c>
      <x:c r="F9" s="50" t="str">
        <x:v>Existem kits que vocês deixam de montar porque uma das vedações não é encontrada separadamente?</x:v>
      </x:c>
    </x:row>
    <x:row r="10" ht="78" customHeight="1">
      <x:c r="A10" s="50" t="str">
        <x:v>Vedações Offshore</x:v>
      </x:c>
      <x:c r="B10" s="50" t="str">
        <x:v>fornecedor de vedações para aplicações offshore e de óleo e gás</x:v>
      </x:c>
      <x:c r="C10" s="50" t="str">
        <x:v>vedações para fluidos agressivos, pressão, temperatura, baixo atrito e ambientes de manutenção crítica</x:v>
      </x:c>
      <x:c r="D10" s="50" t="str">
        <x:v>componentes em PTFE puro ou carregado, FKM, PU e NBR, com material definido após análise da aplicação</x:v>
      </x:c>
      <x:c r="E10" s="50" t="str">
        <x:v>desenvolver peças especiais por desenho ou amostra e apoiar demandas críticas ou fora de catálogo</x:v>
      </x:c>
      <x:c r="F10" s="50" t="str">
        <x:v>Há alguma aplicação offshore ou de óleo e gás em que o prazo, a geometria ou o material da vedação esteja limitando o atendimento?</x:v>
      </x:c>
    </x:row>
    <x:row r="11" ht="78" customHeight="1">
      <x:c r="A11" s="50" t="str">
        <x:v>Pneumática</x:v>
      </x:c>
      <x:c r="B11" s="50" t="str">
        <x:v>fornecedor de soluções pneumáticas</x:v>
      </x:c>
      <x:c r="C11" s="50" t="str">
        <x:v>vedações de baixo atrito, gaxetas, raspadores, anéis guia e componentes de atuadores</x:v>
      </x:c>
      <x:c r="D11" s="50" t="str">
        <x:v>peças em PTFE, PU, NBR e FKM dimensionadas conforme velocidade, pressão e fluido</x:v>
      </x:c>
      <x:c r="E11" s="50" t="str">
        <x:v>atender medidas especiais e reposições fora de catálogo sem exigir grandes lotes</x:v>
      </x:c>
      <x:c r="F11" s="50" t="str">
        <x:v>Há atuadores ou equipamentos pneumáticos com vedações difíceis de localizar ou que exigem medida especial?</x:v>
      </x:c>
    </x:row>
    <x:row r="12" ht="78" customHeight="1">
      <x:c r="A12" s="50" t="str">
        <x:v>Selos Mecânicos</x:v>
      </x:c>
      <x:c r="B12" s="50" t="str">
        <x:v>especialista em selos mecânicos e componentes de vedação</x:v>
      </x:c>
      <x:c r="C12" s="50" t="str">
        <x:v>vedações secundárias, anéis, juntas, sedes auxiliares e componentes especiais para conjuntos de selagem</x:v>
      </x:c>
      <x:c r="D12" s="50" t="str">
        <x:v>componentes em PTFE, NBR, FKM, PU e materiais técnicos conforme desenho e condição de trabalho</x:v>
      </x:c>
      <x:c r="E12" s="50" t="str">
        <x:v>fornecer componentes auxiliares especiais, pequenas séries e reposições que não compensam produção interna</x:v>
      </x:c>
      <x:c r="F12" s="50" t="str">
        <x:v>Existe algum componente secundário ou especial de selo mecânico que vocês prefeririam terceirizar?</x:v>
      </x:c>
    </x:row>
    <x:row r="13" ht="78" customHeight="1">
      <x:c r="A13" s="50" t="str">
        <x:v>Fabricante PTFE</x:v>
      </x:c>
      <x:c r="B13" s="50" t="str">
        <x:v>fabricante especializado em componentes de PTFE</x:v>
      </x:c>
      <x:c r="C13" s="50" t="str">
        <x:v>peças técnicas, anéis, sedes, guias e geometrias especiais para baixa fricção e resistência química</x:v>
      </x:c>
      <x:c r="D13" s="50" t="str">
        <x:v>apoio complementar em PTFE puro ou carregado e combinação com PU, NBR, FKM e outros materiais de vedação</x:v>
      </x:c>
      <x:c r="E13" s="50" t="str">
        <x:v>absorver urgências, geometrias específicas ou demandas mistas que envolvam mais de uma família de materiais</x:v>
      </x:c>
      <x:c r="F13" s="50" t="str">
        <x:v>Há itens ou picos de demanda em que uma parceria produtiva complementar faria sentido para vocês?</x:v>
      </x:c>
    </x:row>
    <x:row r="14" ht="78" customHeight="1">
      <x:c r="A14" s="50" t="str">
        <x:v>Fixação/Vedações</x:v>
      </x:c>
      <x:c r="B14" s="50" t="str">
        <x:v>distribuidor de fixação e vedações</x:v>
      </x:c>
      <x:c r="C14" s="50" t="str">
        <x:v>anéis, retentores, juntas e componentes especiais para manutenção e montagem industrial</x:v>
      </x:c>
      <x:c r="D14" s="50" t="str">
        <x:v>peças em PTFE, PU, NBR e FKM em medidas especiais</x:v>
      </x:c>
      <x:c r="E14" s="50" t="str">
        <x:v>ampliar o atendimento de itens técnicos que não fazem parte da linha padronizada</x:v>
      </x:c>
      <x:c r="F14" s="50" t="str">
        <x:v>Quais vedações especiais aparecem junto às demandas de fixadores e manutenção dos seus clientes?</x:v>
      </x:c>
    </x:row>
    <x:row r="15" ht="78" customHeight="1">
      <x:c r="A15" s="50" t="str">
        <x:v>Distribuidora</x:v>
      </x:c>
      <x:c r="B15" s="50" t="str">
        <x:v>distribuidor de componentes industriais</x:v>
      </x:c>
      <x:c r="C15" s="50" t="str">
        <x:v>reposições industriais, itens fora de linha, medidas especiais e demandas de manutenção</x:v>
      </x:c>
      <x:c r="D15" s="50" t="str">
        <x:v>vedações e componentes sob medida em PTFE, PU, NBR, FKM e materiais técnicos</x:v>
      </x:c>
      <x:c r="E15" s="50" t="str">
        <x:v>complementar o portfólio sem necessidade de estoque amplo, produzindo por desenho ou amostra</x:v>
      </x:c>
      <x:c r="F15" s="50" t="str">
        <x:v>Há famílias de vedações que seus clientes solicitam, mas que hoje ficam fora do portfólio por baixa recorrência?</x:v>
      </x:c>
    </x:row>
    <x:row r="16" ht="78" customHeight="1">
      <x:c r="A16" s="50" t="str">
        <x:v>Fabricante</x:v>
      </x:c>
      <x:c r="B16" s="50" t="str">
        <x:v>fabricante de componentes industriais</x:v>
      </x:c>
      <x:c r="C16" s="50" t="str">
        <x:v>componentes de vedação, guias, anéis, juntas e peças técnicas integradas ao equipamento</x:v>
      </x:c>
      <x:c r="D16" s="50" t="str">
        <x:v>peças sob desenho em PTFE, PU, NBR, FKM, nylon e materiais técnicos</x:v>
      </x:c>
      <x:c r="E16" s="50" t="str">
        <x:v>fornecer componentes prontos para montagem, inclusive em lotes piloto, reposição e desenvolvimento</x:v>
      </x:c>
      <x:c r="F16" s="50" t="str">
        <x:v>Há algum componente de vedação que hoje seja comprado como item padronizado, mas que poderia ser otimizado sob desenho?</x:v>
      </x:c>
    </x:row>
    <x:row r="17" ht="78" customHeight="1">
      <x:c r="A17" s="50" t="str">
        <x:v>Industrial/Vedações</x:v>
      </x:c>
      <x:c r="B17" s="50" t="str">
        <x:v>fornecedor industrial com foco em vedações</x:v>
      </x:c>
      <x:c r="C17" s="50" t="str">
        <x:v>manutenção, reposições especiais, equipamentos hidráulicos e componentes sujeitos a desgaste ou ataque químico</x:v>
      </x:c>
      <x:c r="D17" s="50" t="str">
        <x:v>peças em PTFE, PU, NBR e FKM sob medida</x:v>
      </x:c>
      <x:c r="E17" s="50" t="str">
        <x:v>atender itens fora de catálogo, urgências e pequenas séries com suporte na definição do material</x:v>
      </x:c>
      <x:c r="F17" s="50" t="str">
        <x:v>Qual tipo de vedação especial mais gera atraso ou perda de venda para a equipe de vocês?</x:v>
      </x:c>
    </x:row>
    <x:row r="18" ht="78" customHeight="1">
      <x:c r="A18" s="50" t="str">
        <x:v>Vedações/Industrial</x:v>
      </x:c>
      <x:c r="B18" s="50" t="str">
        <x:v>fornecedor de vedações para manutenção industrial</x:v>
      </x:c>
      <x:c r="C18" s="50" t="str">
        <x:v>reposição de máquinas, cilindros, bombas e equipamentos de processo</x:v>
      </x:c>
      <x:c r="D18" s="50" t="str">
        <x:v>peças em PTFE, PU, NBR e FKM conforme desenho ou amostra</x:v>
      </x:c>
      <x:c r="E18" s="50" t="str">
        <x:v>resolver medidas especiais e componentes descontinuados com lotes compatíveis à necessidade</x:v>
      </x:c>
      <x:c r="F18" s="50" t="str">
        <x:v>Há alguma reposição industrial que vocês recebem com frequência e não conseguem atender por falta de medida ou material?</x:v>
      </x:c>
    </x:row>
    <x:row r="19" ht="78" customHeight="1">
      <x:c r="A19" s="50" t="str">
        <x:v>Industrial</x:v>
      </x:c>
      <x:c r="B19" s="50" t="str">
        <x:v>fornecedor de componentes industriais</x:v>
      </x:c>
      <x:c r="C19" s="50" t="str">
        <x:v>manutenção de máquinas, conjuntos hidráulicos, bombas e equipamentos de processo</x:v>
      </x:c>
      <x:c r="D19" s="50" t="str">
        <x:v>vedações e componentes sob medida em PTFE, PU, NBR e FKM</x:v>
      </x:c>
      <x:c r="E19" s="50" t="str">
        <x:v>adicionar uma fonte de peças especiais sem necessidade de manter estoque</x:v>
      </x:c>
      <x:c r="F19" s="50" t="str">
        <x:v>Existe alguma demanda de vedação ou componente técnico que hoje vocês direcionam para terceiros?</x:v>
      </x:c>
    </x:row>
    <x:row r="20" ht="78" customHeight="1">
      <x:c r="A20" s="50" t="str">
        <x:v>Distribuidor Parker</x:v>
      </x:c>
      <x:c r="B20" s="50" t="str">
        <x:v>distribuidor de componentes hidráulicos de linha</x:v>
      </x:c>
      <x:c r="C20" s="50" t="str">
        <x:v>vedações especiais para cilindros, equipamentos antigos e medidas que não constam no catálogo</x:v>
      </x:c>
      <x:c r="D20" s="50" t="str">
        <x:v>gaxetas, raspadores, anéis guia e peças em PU, PTFE, NBR e FKM sob medida</x:v>
      </x:c>
      <x:c r="E20" s="50" t="str">
        <x:v>complementar a linha Parker em aplicações especiais, sem substituir os itens padronizados</x:v>
      </x:c>
      <x:c r="F20" s="50" t="str">
        <x:v>Quais medidas ou equipamentos ficam fora da linha catalogada e acabam exigindo uma solução especial?</x:v>
      </x:c>
    </x:row>
    <x:row r="21" ht="78" customHeight="1">
      <x:c r="A21" s="50" t="str">
        <x:v>Distribuidor Sabó</x:v>
      </x:c>
      <x:c r="B21" s="50" t="str">
        <x:v>distribuidor de retentores e vedações de linha</x:v>
      </x:c>
      <x:c r="C21" s="50" t="str">
        <x:v>retentores especiais, medidas fora de catálogo e reposições industriais antigas</x:v>
      </x:c>
      <x:c r="D21" s="50" t="str">
        <x:v>peças em NBR, FKM, PU e PTFE conforme amostra ou desenho</x:v>
      </x:c>
      <x:c r="E21" s="50" t="str">
        <x:v>complementar a linha Sabó quando o item é especial, descontinuado ou de baixa quantidade</x:v>
      </x:c>
      <x:c r="F21" s="50" t="str">
        <x:v>Há pedidos de retentores ou vedações especiais que hoje não encontram correspondência na linha catalogada?</x:v>
      </x:c>
    </x:row>
    <x:row r="22" ht="78" customHeight="1">
      <x:c r="A22" s="50" t="str">
        <x:v>Distribuidor AGEL/APC</x:v>
      </x:c>
      <x:c r="B22" s="50" t="str">
        <x:v>distribuidor de componentes e vedações de linha</x:v>
      </x:c>
      <x:c r="C22" s="50" t="str">
        <x:v>itens especiais, medidas fora de catálogo e reposições de manutenção</x:v>
      </x:c>
      <x:c r="D22" s="50" t="str">
        <x:v>vedações em PTFE, PU, NBR e FKM sob desenho ou amostra</x:v>
      </x:c>
      <x:c r="E22" s="50" t="str">
        <x:v>complementar as marcas distribuídas sem competir com os itens padronizados</x:v>
      </x:c>
      <x:c r="F22" s="50" t="str">
        <x:v>Quais itens especiais aparecem com mais frequência fora das linhas que vocês distribuem?</x:v>
      </x:c>
    </x:row>
    <x:row r="23" ht="78" customHeight="1">
      <x:c r="A23" s="50" t="str">
        <x:v>Distribuidor Vedabrás</x:v>
      </x:c>
      <x:c r="B23" s="50" t="str">
        <x:v>distribuidor de vedações de linha</x:v>
      </x:c>
      <x:c r="C23" s="50" t="str">
        <x:v>medidas especiais, itens fora de catálogo e reposições urgentes</x:v>
      </x:c>
      <x:c r="D23" s="50" t="str">
        <x:v>peças em PTFE, PU, NBR e FKM sob medida</x:v>
      </x:c>
      <x:c r="E23" s="50" t="str">
        <x:v>complementar a linha Vedabrás em demandas especiais e pequenas séries</x:v>
      </x:c>
      <x:c r="F23" s="50" t="str">
        <x:v>Há medidas ou materiais que seus clientes pedem e que não estão disponíveis na linha regular?</x:v>
      </x:c>
    </x:row>
    <x:row r="24" ht="78" customHeight="1">
      <x:c r="A24" s="50" t="str">
        <x:v>Distribuidor Vedabrás/Joinseal</x:v>
      </x:c>
      <x:c r="B24" s="50" t="str">
        <x:v>distribuidor de vedações e componentes de linha</x:v>
      </x:c>
      <x:c r="C24" s="50" t="str">
        <x:v>itens especiais, medidas fora de catálogo, kits e reposições industriais</x:v>
      </x:c>
      <x:c r="D24" s="50" t="str">
        <x:v>peças em PTFE, PU, NBR e FKM sob desenho ou amostra</x:v>
      </x:c>
      <x:c r="E24" s="50" t="str">
        <x:v>complementar as linhas distribuídas com fabricação especial e baixa quantidade</x:v>
      </x:c>
      <x:c r="F24" s="50" t="str">
        <x:v>Quais demandas especiais ficam sem solução nas linhas padronizadas que vocês trabalham?</x:v>
      </x:c>
    </x:row>
  </x:sheetData>
  <x:pageMargins left="0.7" right="0.7" top="0.75" bottom="0.75" header="0.3" footer="0.3"/>
  <x:tableParts count="1">
    <x:tablePart xmlns:r="http://schemas.openxmlformats.org/officeDocument/2006/relationships" r:id="R8692db00c66347e0"/>
  </x:tableParts>
</x:worksheet>
</file>

<file path=xl/worksheets/sheet8.xml><?xml version="1.0" encoding="utf-8"?>
<x:worksheet xmlns:x="http://schemas.openxmlformats.org/spreadsheetml/2006/main">
  <x:sheetFormatPr defaultRowHeight="15"/>
  <x:cols>
    <x:col min="1" max="1" width="28" hidden="0" customWidth="1"/>
    <x:col min="2" max="2" width="85" hidden="0" customWidth="1"/>
    <x:col min="3" max="3" width="75" hidden="0" customWidth="1"/>
  </x:cols>
  <x:sheetData>
    <x:row r="1">
      <x:c r="A1" s="39" t="str">
        <x:v>Tema</x:v>
      </x:c>
      <x:c r="B1" s="39" t="str">
        <x:v>Orientação aplicada</x:v>
      </x:c>
      <x:c r="C1" s="39" t="str">
        <x:v>Fonte</x:v>
      </x:c>
    </x:row>
    <x:row r="2" ht="60" customHeight="1">
      <x:c r="A2" s="50" t="str">
        <x:v>Contexto industrial por estado</x:v>
      </x:c>
      <x:c r="B2" s="50" t="str">
        <x:v>A localização é usada apenas como hipótese de mercado; o texto não afirma que a empresa atende um setor sem evidência específica.</x:v>
      </x:c>
      <x:c r="C2" s="50" t="str">
        <x:v>https://perfildaindustria.portaldaindustria.com.br/</x:v>
      </x:c>
    </x:row>
    <x:row r="3" ht="60" customHeight="1">
      <x:c r="A3" s="50" t="str">
        <x:v>Petróleo e gás</x:v>
      </x:c>
      <x:c r="B3" s="50" t="str">
        <x:v>Usado como contexto potencial principalmente para ES, RJ, RN, SE e BA; nunca como afirmação automática sobre cada empresa.</x:v>
      </x:c>
      <x:c r="C3" s="50" t="str">
        <x:v>https://www.gov.br/anp/pt-br/centrais-de-conteudo/paineis-dinamicos-da-anp/paineis-dinamicos-sobre-exploracao-e-producao-de-petroleo-e-gas/painel-de-pocos-na-fase-de-producao</x:v>
      </x:c>
    </x:row>
    <x:row r="4" ht="60" customHeight="1">
      <x:c r="A4" s="50" t="str">
        <x:v>Mineração</x:v>
      </x:c>
      <x:c r="B4" s="50" t="str">
        <x:v>Usado como contexto potencial para MG, PA e BA; a aplicação deve ser confirmada na revisão.</x:v>
      </x:c>
      <x:c r="C4" s="50" t="str">
        <x:v>https://ibram.org.br/</x:v>
      </x:c>
    </x:row>
    <x:row r="5" ht="60" customHeight="1">
      <x:c r="A5" s="50" t="str">
        <x:v>LGPD - legítimo interesse</x:v>
      </x:c>
      <x:c r="B5" s="50" t="str">
        <x:v>Finalidade específica, necessidade, transparência, registro e teste de balanceamento antes da campanha.</x:v>
      </x:c>
      <x:c r="C5" s="50" t="str">
        <x:v>https://www.gov.br/anpd/pt-br/centrais-de-conteudo/materiais-educativos-e-publicacoes/guia_legitimo_interesse.pdf/@@display-file/file</x:v>
      </x:c>
    </x:row>
    <x:row r="6" ht="60" customHeight="1">
      <x:c r="A6" s="50" t="str">
        <x:v>Descadastramento</x:v>
      </x:c>
      <x:c r="B6" s="50" t="str">
        <x:v>Toda mensagem inclui mecanismo simples de remoção e o sistema mantém lista de supressão.</x:v>
      </x:c>
      <x:c r="C6" s="50" t="str">
        <x:v>https://www.gov.br/anpd/pt-br/centrais-de-conteudo/materiais-educativos-e-publicacoes/guia_legitimo_interesse.pdf/@@display-file/file</x:v>
      </x:c>
    </x:row>
    <x:row r="7" ht="60" customHeight="1">
      <x:c r="A7" s="50" t="str">
        <x:v>Autenticação do domínio</x:v>
      </x:c>
      <x:c r="B7" s="50" t="str">
        <x:v>Configurar SPF, DKIM e DMARC antes de escalar os envios.</x:v>
      </x:c>
      <x:c r="C7" s="50" t="str">
        <x:v>https://support.google.com/a/answer/81126</x:v>
      </x:c>
    </x:row>
    <x:row r="8" ht="60" customHeight="1">
      <x:c r="A8" s="50" t="str">
        <x:v>Regra de pesquisa</x:v>
      </x:c>
      <x:c r="B8" s="50" t="str">
        <x:v>Priorizar site oficial e páginas institucionais; diretórios são apenas apoio. Não inventar mercados, contatos ou aplicações.</x:v>
      </x:c>
      <x:c r="C8" s="50" t="str">
        <x:v>Procedimento interno Parts Seals</x:v>
      </x:c>
    </x:row>
    <x:row r="9" ht="60" customHeight="1">
      <x:c r="A9" s="50" t="str">
        <x:v>Regra de envio</x:v>
      </x:c>
      <x:c r="B9" s="50" t="str">
        <x:v>Nenhum contato de confiança moderada ou baixa deve ser enviado sem revisão humana.</x:v>
      </x:c>
      <x:c r="C9" s="50" t="str">
        <x:v>Procedimento interno Parts Seals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2" hidden="0" customWidth="1"/>
    <x:col min="2" max="2" width="32" hidden="0" customWidth="1"/>
    <x:col min="3" max="3" width="60" hidden="0" customWidth="1"/>
    <x:col min="4" max="4" width="70" hidden="0" customWidth="1"/>
  </x:cols>
  <x:sheetData>
    <x:row r="1">
      <x:c r="A1" s="39" t="str">
        <x:v>Etapa</x:v>
      </x:c>
      <x:c r="B1" s="39" t="str">
        <x:v>Quando enviar</x:v>
      </x:c>
      <x:c r="C1" s="39" t="str">
        <x:v>Objetivo</x:v>
      </x:c>
      <x:c r="D1" s="39" t="str">
        <x:v>Condição de bloqueio</x:v>
      </x:c>
    </x:row>
    <x:row r="2" ht="55" customHeight="1">
      <x:c r="A2" s="50" t="str">
        <x:v>E-mail inicial</x:v>
      </x:c>
      <x:c r="B2" s="50" t="str">
        <x:v>Após aprovação humana, em dia útil</x:v>
      </x:c>
      <x:c r="C2" s="50" t="str">
        <x:v>Apresentar aderência, produto e fazer uma pergunta simples</x:v>
      </x:c>
      <x:c r="D2" s="50" t="str">
        <x:v>Não enviar se opt-out, bounce, resposta anterior ou e-mail sem fonte confiável</x:v>
      </x:c>
    </x:row>
    <x:row r="3" ht="55" customHeight="1">
      <x:c r="A3" s="50" t="str">
        <x:v>Follow-up 1</x:v>
      </x:c>
      <x:c r="B3" s="50" t="str">
        <x:v>4 dias úteis após o primeiro</x:v>
      </x:c>
      <x:c r="C3" s="50" t="str">
        <x:v>Relembrar o valor e pedir um caso real para análise</x:v>
      </x:c>
      <x:c r="D3" s="50" t="str">
        <x:v>Não enviar se houve qualquer resposta, opt-out ou bounce</x:v>
      </x:c>
    </x:row>
    <x:row r="4" ht="55" customHeight="1">
      <x:c r="A4" s="50" t="str">
        <x:v>Follow-up 2</x:v>
      </x:c>
      <x:c r="B4" s="50" t="str">
        <x:v>9 dias úteis após o primeiro</x:v>
      </x:c>
      <x:c r="C4" s="50" t="str">
        <x:v>Encerrar de forma respeitosa e oferecer apresentação</x:v>
      </x:c>
      <x:c r="D4" s="50" t="str">
        <x:v>Não enviar se houve qualquer resposta, opt-out ou bounce</x:v>
      </x:c>
    </x:row>
    <x:row r="5" ht="55" customHeight="1">
      <x:c r="A5" s="50" t="str">
        <x:v>Encerramento</x:v>
      </x:c>
      <x:c r="B5" s="50" t="str">
        <x:v>Após o segundo follow-up</x:v>
      </x:c>
      <x:c r="C5" s="50" t="str">
        <x:v>Pausar automaticamente o lead</x:v>
      </x:c>
      <x:c r="D5" s="50" t="str">
        <x:v>Somente reabrir com nova evidência, solicitação ou revisão manual</x:v>
      </x:c>
    </x:row>
  </x:sheetData>
  <x:pageMargins left="0.7" right="0.7" top="0.75" bottom="0.75" header="0.3" footer="0.3"/>
</x:worksheet>
</file>